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<sst xmlns="http://schemas.openxmlformats.org/spreadsheetml/2006/main" uniqueCount="462">
  <si>
    <t>Table 1</t>
  </si>
  <si>
    <t>Supplier Group</t>
  </si>
  <si>
    <t>Tree Variety</t>
  </si>
  <si>
    <t>Qty</t>
  </si>
  <si>
    <t>Link</t>
  </si>
  <si>
    <t>Orchard Section</t>
  </si>
  <si>
    <t>Standard?</t>
  </si>
  <si>
    <t>Supplier</t>
  </si>
  <si>
    <t>Species</t>
  </si>
  <si>
    <t>Orchard Role Category</t>
  </si>
  <si>
    <t>Cost/Tree (USD)</t>
  </si>
  <si>
    <t>Total (USD)</t>
  </si>
  <si>
    <t>Size Class</t>
  </si>
  <si>
    <t>Rootstock</t>
  </si>
  <si>
    <t>Mature Height (ft)</t>
  </si>
  <si>
    <t>Shipping / Plant Size</t>
  </si>
  <si>
    <t>Cold Hardiness (°F)</t>
  </si>
  <si>
    <t>Ripening Window (Southern WI)</t>
  </si>
  <si>
    <t>Cider / Flavor Profile</t>
  </si>
  <si>
    <t>Fire Blight Susceptibility</t>
  </si>
  <si>
    <t>Apple Scab Susceptibility</t>
  </si>
  <si>
    <t>Other Disease Notes</t>
  </si>
  <si>
    <t>Biennial Tendency</t>
  </si>
  <si>
    <t>Biennial Management</t>
  </si>
  <si>
    <t>Bloom Group / Timing</t>
  </si>
  <si>
    <t>Pollination</t>
  </si>
  <si>
    <t>Storage Potential</t>
  </si>
  <si>
    <t>Orchard Notes</t>
  </si>
  <si>
    <t>Roots to Fruits Nursery</t>
  </si>
  <si>
    <t>Cider</t>
  </si>
  <si>
    <t>Apple</t>
  </si>
  <si>
    <r>
      <rPr>
        <u val="single"/>
        <sz val="12"/>
        <color indexed="8"/>
        <rFont val="Times Roman"/>
      </rPr>
      <t>RootsToFruitsNursery.com</t>
    </r>
  </si>
  <si>
    <t>Brown Snout</t>
  </si>
  <si>
    <r>
      <rPr>
        <u val="single"/>
        <sz val="12"/>
        <color indexed="16"/>
        <rFont val="Times Roman"/>
      </rPr>
      <t>https://rootstofruitsnursery.com/products/browns-snout?variant=45421334102212</t>
    </r>
  </si>
  <si>
    <t>Bittersweet (body &amp; tannin)</t>
  </si>
  <si>
    <t>Unknown</t>
  </si>
  <si>
    <t>18–21</t>
  </si>
  <si>
    <t>Not specified</t>
  </si>
  <si>
    <t>-25 to -30</t>
  </si>
  <si>
    <t>Sept 25 – Oct 10</t>
  </si>
  <si>
    <t>Medium-high tannin, balanced acid</t>
  </si>
  <si>
    <t>Low to moderate</t>
  </si>
  <si>
    <t>Moderate</t>
  </si>
  <si>
    <t>Light to moderate thinning, thin early in heavy years</t>
  </si>
  <si>
    <t>Modern bittersweet role</t>
  </si>
  <si>
    <t>CrimsonCrisp</t>
  </si>
  <si>
    <r>
      <rPr>
        <u val="single"/>
        <sz val="12"/>
        <color indexed="16"/>
        <rFont val="Times Roman"/>
      </rPr>
      <t>https://rootstofruitsnursery.com/products/crimsoncrisp?variant=41771952177348</t>
    </r>
  </si>
  <si>
    <t>Bittersweet (structure contributor)</t>
  </si>
  <si>
    <t>Semi-dwarf</t>
  </si>
  <si>
    <t>MM106</t>
  </si>
  <si>
    <t>16–18</t>
  </si>
  <si>
    <t>6–7 ft shipping/pickup</t>
  </si>
  <si>
    <t>Sept 10 – Sept 25</t>
  </si>
  <si>
    <t>Medium tannin, medium acid</t>
  </si>
  <si>
    <t>Low</t>
  </si>
  <si>
    <t>Very low (resistant)</t>
  </si>
  <si>
    <t>Minimal thinning, naturally consistent</t>
  </si>
  <si>
    <t>Firm structure contributor</t>
  </si>
  <si>
    <t>GoldRush</t>
  </si>
  <si>
    <r>
      <rPr>
        <u val="single"/>
        <sz val="12"/>
        <color indexed="16"/>
        <rFont val="Times Roman"/>
      </rPr>
      <t>https://rootstofruitsnursery.com/products/goldrush?variant=43694275264708</t>
    </r>
  </si>
  <si>
    <t>available</t>
  </si>
  <si>
    <t>Bittersweet-adjacent (tannin + sugar role)</t>
  </si>
  <si>
    <t>Varies</t>
  </si>
  <si>
    <t>Varies (often M7, M111, etc.)</t>
  </si>
  <si>
    <t>17–21 (can vary ~10–21 by rootstock)</t>
  </si>
  <si>
    <t>Ships ~6–7 ft bare-root</t>
  </si>
  <si>
    <t>Oct 15 – Oct 30 (also noted late Oct – early Nov)</t>
  </si>
  <si>
    <t>Medium tannin, high sugar, bright acid backbone</t>
  </si>
  <si>
    <t>Low to moderate (also noted moderately resistant)</t>
  </si>
  <si>
    <t>Very low / field immune (extended notes)</t>
  </si>
  <si>
    <t>Mildew highly resistant, CAR some susceptibility</t>
  </si>
  <si>
    <t>Thin moderately, can alternate if overloaded</t>
  </si>
  <si>
    <t>Late bloom (Group 5)</t>
  </si>
  <si>
    <t>Requires cross-pollination</t>
  </si>
  <si>
    <t>Exceptional (5–7+ months refrigerated)</t>
  </si>
  <si>
    <t>Late ripening needs long season, plant sheltered and sunny</t>
  </si>
  <si>
    <t>WineCrisp</t>
  </si>
  <si>
    <r>
      <rPr>
        <u val="single"/>
        <sz val="12"/>
        <color indexed="16"/>
        <rFont val="Times Roman"/>
      </rPr>
      <t>https://rootstofruitsnursery.com/products/winecrisp?variant=42025650258116</t>
    </r>
  </si>
  <si>
    <t>Bittersharp (acid + structured tannin)</t>
  </si>
  <si>
    <t>B.118</t>
  </si>
  <si>
    <t>6–7 ft</t>
  </si>
  <si>
    <t>Oct 5 – Oct 20</t>
  </si>
  <si>
    <t>Medium tannin, firm acid, deep color</t>
  </si>
  <si>
    <t>Light thinning if needed, generally stable</t>
  </si>
  <si>
    <t>Deep color contribution</t>
  </si>
  <si>
    <t>Enterprise</t>
  </si>
  <si>
    <r>
      <rPr>
        <u val="single"/>
        <sz val="12"/>
        <color indexed="16"/>
        <rFont val="Times Roman"/>
      </rPr>
      <t>https://rootstofruitsnursery.com/products/enterprise?variant=40992641056964</t>
    </r>
  </si>
  <si>
    <t xml:space="preserve">available </t>
  </si>
  <si>
    <t>Sharp (acid backbone)</t>
  </si>
  <si>
    <t>M111</t>
  </si>
  <si>
    <t>4–6 ft</t>
  </si>
  <si>
    <t>Oct 10 – Oct 25</t>
  </si>
  <si>
    <t>Low tannin, high acid, strong storage sugar accumulation</t>
  </si>
  <si>
    <t>Light to moderate thinning during heavy sets</t>
  </si>
  <si>
    <t>Strong late-season acid backbone</t>
  </si>
  <si>
    <t>Golden Russet</t>
  </si>
  <si>
    <r>
      <rPr>
        <u val="single"/>
        <sz val="12"/>
        <color indexed="16"/>
        <rFont val="Times Roman"/>
      </rPr>
      <t>https://rootstofruitsnursery.com/products/golden-russet?variant=38015222415556</t>
    </r>
  </si>
  <si>
    <t>Sweet/Aromatic (sugar + fermentation character)</t>
  </si>
  <si>
    <t>15–17</t>
  </si>
  <si>
    <t>Ships 6–7 ft</t>
  </si>
  <si>
    <t>Low to medium tannin, medium acid, high sugar, aromatic</t>
  </si>
  <si>
    <t>Moderate thinning, avoid overcropping</t>
  </si>
  <si>
    <t>Great fermentation aromatics</t>
  </si>
  <si>
    <t>Roxbury Russet</t>
  </si>
  <si>
    <r>
      <rPr>
        <u val="single"/>
        <sz val="12"/>
        <color indexed="16"/>
        <rFont val="Times Roman"/>
      </rPr>
      <t>https://rootstofruitsnursery.com/products/roxbury-russet?variant=38041230147780</t>
    </r>
  </si>
  <si>
    <t>Sweet/Aromatic (sugar + fermentation depth)</t>
  </si>
  <si>
    <t>11–13</t>
  </si>
  <si>
    <t>Low tannin, rich sugar, fermentation depth</t>
  </si>
  <si>
    <t>Moderate thinning, thin early to one fruit per cluster if heavy set</t>
  </si>
  <si>
    <t>Fermentation depth contributor</t>
  </si>
  <si>
    <t>Liberty</t>
  </si>
  <si>
    <r>
      <rPr>
        <u val="single"/>
        <sz val="12"/>
        <color indexed="16"/>
        <rFont val="Times Roman"/>
      </rPr>
      <t>https://raintreenursery.com/products/liberty-apple-dwarf?variant=31817582313527</t>
    </r>
  </si>
  <si>
    <t>Sharp (orchard insurance)</t>
  </si>
  <si>
    <t xml:space="preserve">18-21' </t>
  </si>
  <si>
    <t>7–8 ft</t>
  </si>
  <si>
    <t>-30 to -35</t>
  </si>
  <si>
    <t>Low tannin, high acid</t>
  </si>
  <si>
    <t>Low (resistant)</t>
  </si>
  <si>
    <t>Light thinning only when heavily set</t>
  </si>
  <si>
    <t>Larger plant size option</t>
  </si>
  <si>
    <t>Eating/baking</t>
  </si>
  <si>
    <t>State Fair</t>
  </si>
  <si>
    <r>
      <rPr>
        <u val="single"/>
        <sz val="12"/>
        <color indexed="16"/>
        <rFont val="Times Roman"/>
      </rPr>
      <t>https://rootstofruitsnursery.com/products/state-fair-apple</t>
    </r>
  </si>
  <si>
    <t>Eating + Baking (early season)</t>
  </si>
  <si>
    <t>Standard vigor</t>
  </si>
  <si>
    <t>Seedling</t>
  </si>
  <si>
    <t>~16–22</t>
  </si>
  <si>
    <t>6–7 ft bare-root</t>
  </si>
  <si>
    <t>Zone 4 (implied)</t>
  </si>
  <si>
    <t>Early–Mid August</t>
  </si>
  <si>
    <t>Early fresh eating, applesauce</t>
  </si>
  <si>
    <t>“Moderate susceptibility” (general)</t>
  </si>
  <si>
    <t>3–4</t>
  </si>
  <si>
    <t>Earliest pick to open season</t>
  </si>
  <si>
    <t>Honeycrisp</t>
  </si>
  <si>
    <r>
      <rPr>
        <u val="single"/>
        <sz val="12"/>
        <color indexed="16"/>
        <rFont val="Times Roman"/>
      </rPr>
      <t>https://rootstofruitsnursery.com/products/honeycrisp</t>
    </r>
  </si>
  <si>
    <t>Premium fresh eating (mid-season)</t>
  </si>
  <si>
    <t>Semi-vigorous / Semi-dwarf</t>
  </si>
  <si>
    <r>
      <rPr>
        <sz val="12"/>
        <color indexed="8"/>
        <rFont val="Times Roman"/>
      </rPr>
      <t xml:space="preserve">M111 </t>
    </r>
    <r>
      <rPr>
        <b val="1"/>
        <sz val="12"/>
        <color indexed="8"/>
        <rFont val="Times Roman"/>
      </rPr>
      <t>or</t>
    </r>
    <r>
      <rPr>
        <sz val="12"/>
        <color indexed="8"/>
        <rFont val="Times Roman"/>
      </rPr>
      <t xml:space="preserve"> M7 (check invoice)</t>
    </r>
  </si>
  <si>
    <t>~15–20 (more vigorous if M111)</t>
  </si>
  <si>
    <t>Mid-September</t>
  </si>
  <si>
    <t>Premium fresh eating</t>
  </si>
  <si>
    <t>Moderate resistance; some susceptibility to bitter pit</t>
  </si>
  <si>
    <t>Crowd favorite, mid-season anchor</t>
  </si>
  <si>
    <t>SnowSweet</t>
  </si>
  <si>
    <r>
      <rPr>
        <u val="single"/>
        <sz val="12"/>
        <color indexed="16"/>
        <rFont val="Times Roman"/>
      </rPr>
      <t>https://rootstofruitsnursery.com/products/snowsweet?variant=44761863979204</t>
    </r>
  </si>
  <si>
    <t>Eating + salads (late Sept)</t>
  </si>
  <si>
    <t>M7</t>
  </si>
  <si>
    <t>~14–18</t>
  </si>
  <si>
    <t>Late Sept – Early Oct</t>
  </si>
  <si>
    <t>Fresh eating, salads, short storage</t>
  </si>
  <si>
    <t>“Good scab/fire blight tolerance”</t>
  </si>
  <si>
    <t>Short storage (as written)</t>
  </si>
  <si>
    <t>Strong disease tolerance, dependable</t>
  </si>
  <si>
    <t>Cortland</t>
  </si>
  <si>
    <r>
      <rPr>
        <u val="single"/>
        <sz val="12"/>
        <color indexed="16"/>
        <rFont val="Times Roman"/>
      </rPr>
      <t>https://rootstofruitsnursery.com/products/cortland-apple</t>
    </r>
  </si>
  <si>
    <t>Baking core (pies/crisps/sauce)</t>
  </si>
  <si>
    <t>Late Sept – Oct</t>
  </si>
  <si>
    <t>Pies, crisps, sauces, fresh eating</t>
  </si>
  <si>
    <t>Moderate scab susceptibility</t>
  </si>
  <si>
    <t>Good juice/texture retention</t>
  </si>
  <si>
    <t>Classic baking apple</t>
  </si>
  <si>
    <t>Haralson</t>
  </si>
  <si>
    <r>
      <rPr>
        <u val="single"/>
        <sz val="12"/>
        <color indexed="16"/>
        <rFont val="Times Roman"/>
      </rPr>
      <t>https://rootstofruitsnursery.com/products/haralson-apple</t>
    </r>
  </si>
  <si>
    <t>Baking + storage (late season)</t>
  </si>
  <si>
    <t>~15–20</t>
  </si>
  <si>
    <t>Mid–Late October</t>
  </si>
  <si>
    <t>Baking, storage</t>
  </si>
  <si>
    <t>Good rust &amp; scab resistance; hardy</t>
  </si>
  <si>
    <t>Storage (as written)</t>
  </si>
  <si>
    <t>Extends harvest deep into fall</t>
  </si>
  <si>
    <t>Pear</t>
  </si>
  <si>
    <t>Summercrisp</t>
  </si>
  <si>
    <r>
      <rPr>
        <u val="single"/>
        <sz val="12"/>
        <color indexed="16"/>
        <rFont val="Times Roman"/>
      </rPr>
      <t>https://rootstofruitsnursery.com/products/summercrisp</t>
    </r>
  </si>
  <si>
    <t>Fresh eating (cold-climate pear)</t>
  </si>
  <si>
    <t>OHxF 97</t>
  </si>
  <si>
    <t>~6–7 ft whips</t>
  </si>
  <si>
    <t>Zones 3–7</t>
  </si>
  <si>
    <t>Very crisp/juicy, sweet, salads/snacking</t>
  </si>
  <si>
    <t>Spring bloom</t>
  </si>
  <si>
    <t>Needs cross-pollination</t>
  </si>
  <si>
    <t>One of best cold-climate pears for texture/flavor</t>
  </si>
  <si>
    <t>HarrowSweet</t>
  </si>
  <si>
    <r>
      <rPr>
        <u val="single"/>
        <sz val="12"/>
        <color indexed="16"/>
        <rFont val="Times Roman"/>
      </rPr>
      <t>https://rootstofruitsnursery.com/products/harrowsweet-pear</t>
    </r>
  </si>
  <si>
    <t>Fresh + light cooking</t>
  </si>
  <si>
    <t>OHxF 87</t>
  </si>
  <si>
    <t>15-17’</t>
  </si>
  <si>
    <t>~6–7 ft whip</t>
  </si>
  <si>
    <t>Sweet, crisp, aromatic</t>
  </si>
  <si>
    <t>Cold-hardy selection</t>
  </si>
  <si>
    <t>Luscious</t>
  </si>
  <si>
    <r>
      <rPr>
        <u val="single"/>
        <sz val="12"/>
        <color indexed="16"/>
        <rFont val="Times Roman"/>
      </rPr>
      <t>https://rootstofruitsnursery.com/products/luscious-pear</t>
    </r>
    <r>
      <rPr>
        <sz val="12"/>
        <color indexed="8"/>
        <rFont val="Times Roman"/>
      </rPr>
      <t xml:space="preserve"> (</t>
    </r>
    <r>
      <rPr>
        <u val="single"/>
        <sz val="12"/>
        <color indexed="16"/>
        <rFont val="Times Roman"/>
      </rPr>
      <t>Roots to Fruits Nursery</t>
    </r>
    <r>
      <rPr>
        <sz val="12"/>
        <color indexed="8"/>
        <rFont val="Times Roman"/>
      </rPr>
      <t>)</t>
    </r>
  </si>
  <si>
    <t>Baking-focused pear (also fresh)</t>
  </si>
  <si>
    <t>Semi-dwarf (~80% standard)</t>
  </si>
  <si>
    <t>~17–20 (80% of standard)</t>
  </si>
  <si>
    <t>Hand Select Bare Root ships 6–7 ft (⅞" caliper)</t>
  </si>
  <si>
    <t>Zone 4–8 (USDA)</t>
  </si>
  <si>
    <t>September</t>
  </si>
  <si>
    <t>Small–medium bright yellow fruit, dessert/baking pear</t>
  </si>
  <si>
    <t>Resistant (explicitly stated)</t>
  </si>
  <si>
    <t>“Very cold hardy” stated; “does not pollinate well in return”</t>
  </si>
  <si>
    <t>Early May</t>
  </si>
  <si>
    <t>Requires other European pears for pollination; does not pollinate well in return</t>
  </si>
  <si>
    <t>Variants/prices on page: Maiden BR 3–5' (½" caliper) $35; Field Ready BR 5–6' (⅝") $41; Hand Select BR 6–7' (⅞") $55; 10G container planted 6–8' (⅞") $99</t>
  </si>
  <si>
    <t>Ure</t>
  </si>
  <si>
    <r>
      <rPr>
        <u val="single"/>
        <sz val="12"/>
        <color indexed="16"/>
        <rFont val="Times Roman"/>
      </rPr>
      <t>https://rootstofruitsnursery.com/products/ure-pear</t>
    </r>
  </si>
  <si>
    <t>Cooking/sauces + fresh</t>
  </si>
  <si>
    <t>~79–99</t>
  </si>
  <si>
    <t>~6–7 ft</t>
  </si>
  <si>
    <t>Mildly sweet, firm</t>
  </si>
  <si>
    <t>Proven northern cultivar</t>
  </si>
  <si>
    <t>Seckel</t>
  </si>
  <si>
    <r>
      <rPr>
        <u val="single"/>
        <sz val="12"/>
        <color indexed="16"/>
        <rFont val="Times Roman"/>
      </rPr>
      <t>https://rootstofruitsnursery.com/products/seckel-pear</t>
    </r>
  </si>
  <si>
    <t>Fresh eating + desserts (“sugar pear”)</t>
  </si>
  <si>
    <t>~12–18</t>
  </si>
  <si>
    <t>Zones 4–8</t>
  </si>
  <si>
    <t>Very sweet, intense flavor</t>
  </si>
  <si>
    <t>More compact mature size</t>
  </si>
  <si>
    <t>Patten</t>
  </si>
  <si>
    <r>
      <rPr>
        <u val="single"/>
        <sz val="12"/>
        <color indexed="16"/>
        <rFont val="Times Roman"/>
      </rPr>
      <t>https://rootstofruitsnursery.com/products/patten-pear</t>
    </r>
  </si>
  <si>
    <t>Fresh + canning/baking</t>
  </si>
  <si>
    <t>Sweet, full flavor, juicy, slightly firm</t>
  </si>
  <si>
    <t>Reliable northern cultivar</t>
  </si>
  <si>
    <t>Parker</t>
  </si>
  <si>
    <r>
      <rPr>
        <u val="single"/>
        <sz val="12"/>
        <color indexed="16"/>
        <rFont val="Times Roman"/>
      </rPr>
      <t>https://rootstofruitsnursery.com/products/parker-pear</t>
    </r>
  </si>
  <si>
    <t>Fresh + desserts/light cooking</t>
  </si>
  <si>
    <t>Tender, sweet, pleasant acidity</t>
  </si>
  <si>
    <t>Good upper-Midwest performer</t>
  </si>
  <si>
    <t>Plum</t>
  </si>
  <si>
    <t>Toka</t>
  </si>
  <si>
    <r>
      <rPr>
        <u val="single"/>
        <sz val="12"/>
        <color indexed="16"/>
        <rFont val="Times Roman"/>
      </rPr>
      <t>https://rootstofruitsnursery.com/products/toka</t>
    </r>
  </si>
  <si>
    <t>Hybrid/Japanese-American (anchor pollinator)</t>
  </si>
  <si>
    <t>Dwarf/semi-dwarf (as written)</t>
  </si>
  <si>
    <t>Myrobalan (dwarf/semi-dwarf)</t>
  </si>
  <si>
    <t>6-7’</t>
  </si>
  <si>
    <t>Zones 3–9</t>
  </si>
  <si>
    <t>Late Aug – Early Sept</t>
  </si>
  <si>
    <t>Very sweet, juicy, freestone</t>
  </si>
  <si>
    <t>Mid-spring</t>
  </si>
  <si>
    <t>Self-fertile; excellent pollinator</t>
  </si>
  <si>
    <t>Reliable cold performer, anchor hybrid</t>
  </si>
  <si>
    <t>Black Ice®</t>
  </si>
  <si>
    <r>
      <rPr>
        <u val="single"/>
        <sz val="12"/>
        <color indexed="16"/>
        <rFont val="Times Roman"/>
      </rPr>
      <t>https://rootstofruitsnursery.com/products/black-ice</t>
    </r>
  </si>
  <si>
    <t>Hybrid (early season)</t>
  </si>
  <si>
    <t>5–6 ft whip</t>
  </si>
  <si>
    <t>Late July – Early Aug</t>
  </si>
  <si>
    <t>Dark purple skin, deep red flesh, very sweet, freestone</t>
  </si>
  <si>
    <t>Frost risk due to earlier bloom (site matters)</t>
  </si>
  <si>
    <t>Spring, slightly earlier</t>
  </si>
  <si>
    <t>Needs pollinator (Toka/Superior)</t>
  </si>
  <si>
    <t>Cold hardy but earlier bloom, avoid frost pockets</t>
  </si>
  <si>
    <t>Peach</t>
  </si>
  <si>
    <t>Contender</t>
  </si>
  <si>
    <r>
      <rPr>
        <u val="single"/>
        <sz val="12"/>
        <color indexed="16"/>
        <rFont val="Times Roman"/>
      </rPr>
      <t>https://rootstofruitsnursery.com/products/contender-peach</t>
    </r>
  </si>
  <si>
    <t>Hardy Zone 4 peach</t>
  </si>
  <si>
    <t>12–15</t>
  </si>
  <si>
    <t>6–7 ft bare-root whip</t>
  </si>
  <si>
    <t>Mid–Late Aug</t>
  </si>
  <si>
    <t>Sweet, juicy yellow freestone</t>
  </si>
  <si>
    <t>Later bloom (as written)</t>
  </si>
  <si>
    <t>Self-fertile</t>
  </si>
  <si>
    <t>Later bloom + cold bud survival</t>
  </si>
  <si>
    <t>Intrepid</t>
  </si>
  <si>
    <r>
      <rPr>
        <u val="single"/>
        <sz val="12"/>
        <color indexed="16"/>
        <rFont val="Times Roman"/>
      </rPr>
      <t>https://rootstofruitsnursery.com/products/intrepid-peach</t>
    </r>
  </si>
  <si>
    <t>10–15</t>
  </si>
  <si>
    <t>Zones 4–7</t>
  </si>
  <si>
    <t>Early–Mid Aug</t>
  </si>
  <si>
    <t>Firm, balanced sweetness, freestone</t>
  </si>
  <si>
    <t>Late bloom + frost resistance noted</t>
  </si>
  <si>
    <t>Late bloom (as written)</t>
  </si>
  <si>
    <t>Valuable in volatile springs</t>
  </si>
  <si>
    <t>Reliance</t>
  </si>
  <si>
    <r>
      <rPr>
        <u val="single"/>
        <sz val="12"/>
        <color indexed="16"/>
        <rFont val="Times Roman"/>
      </rPr>
      <t>https://rootstofruitsnursery.com/products/reliance-peach</t>
    </r>
  </si>
  <si>
    <t>Cold-hardy peach</t>
  </si>
  <si>
    <t>Early July</t>
  </si>
  <si>
    <t>Sweet, juicy, softer texture, freestone</t>
  </si>
  <si>
    <t>Historically proven cold-hardy peach</t>
  </si>
  <si>
    <t>Sweet Cherry</t>
  </si>
  <si>
    <t>Lapins</t>
  </si>
  <si>
    <r>
      <rPr>
        <u val="single"/>
        <sz val="12"/>
        <color indexed="16"/>
        <rFont val="Times Roman"/>
      </rPr>
      <t>https://rootstofruitsnursery.com/collections/sweet-cherry-trees/zone_4</t>
    </r>
  </si>
  <si>
    <t>Cold-climate sweet cherry (anchor)</t>
  </si>
  <si>
    <t>~15–18</t>
  </si>
  <si>
    <t>Large, firm, rich sweet cherry</t>
  </si>
  <si>
    <t>Strong WI choice, sets fruit alone</t>
  </si>
  <si>
    <t>Kristin</t>
  </si>
  <si>
    <r>
      <rPr>
        <u val="single"/>
        <sz val="12"/>
        <color indexed="16"/>
        <rFont val="Times Roman"/>
      </rPr>
      <t>https://rootstofruitsnursery.com/products/kristen-cherry</t>
    </r>
  </si>
  <si>
    <t>Cold-climate sweet cherry</t>
  </si>
  <si>
    <t>~17–21</t>
  </si>
  <si>
    <t>Mid-July – Late July</t>
  </si>
  <si>
    <t>Large, juicy, sweet, good depth</t>
  </si>
  <si>
    <t>Self-sterile, needs pollinator (Lapins best)</t>
  </si>
  <si>
    <t>Pairs well with Lapins for fruit set</t>
  </si>
  <si>
    <t>Apricot</t>
  </si>
  <si>
    <t>Mormon</t>
  </si>
  <si>
    <r>
      <rPr>
        <u val="single"/>
        <sz val="12"/>
        <color indexed="16"/>
        <rFont val="Times Roman"/>
      </rPr>
      <t>https://rootstofruitsnursery.com/products/copy-of-madison-peach</t>
    </r>
  </si>
  <si>
    <t>Cold-site apricot (later bloom)</t>
  </si>
  <si>
    <t>Dwarf seedling</t>
  </si>
  <si>
    <t>~10–15 (often maintained under ~12)</t>
  </si>
  <si>
    <t>Mid July</t>
  </si>
  <si>
    <t>Sweet, juicy orange fruit, smooth texture</t>
  </si>
  <si>
    <t>Susceptible to canker, fruit rot, shot hole; frost during bloom main risk</t>
  </si>
  <si>
    <t>Later than many apricots</t>
  </si>
  <si>
    <t>Mostly semi-self-fertile (better with 2+)</t>
  </si>
  <si>
    <t>Precocious, full sun, well-drained soil, airflow, dormant copper recommended</t>
  </si>
  <si>
    <t>Baking</t>
  </si>
  <si>
    <t>Tart Cherry</t>
  </si>
  <si>
    <t>Montmorency</t>
  </si>
  <si>
    <r>
      <rPr>
        <u val="single"/>
        <sz val="12"/>
        <color indexed="16"/>
        <rFont val="Times Roman"/>
      </rPr>
      <t>https://rootstofruitsnursery.com/collections/pie-cherry-trees/products/montmorency-cherry</t>
    </r>
    <r>
      <rPr>
        <sz val="12"/>
        <color indexed="8"/>
        <rFont val="Times Roman"/>
      </rPr>
      <t xml:space="preserve"> (</t>
    </r>
    <r>
      <rPr>
        <u val="single"/>
        <sz val="12"/>
        <color indexed="16"/>
        <rFont val="Times Roman"/>
      </rPr>
      <t>Roots to Fruits Nursery</t>
    </r>
    <r>
      <rPr>
        <sz val="12"/>
        <color indexed="8"/>
        <rFont val="Times Roman"/>
      </rPr>
      <t>)</t>
    </r>
  </si>
  <si>
    <t>Pie cherry (baking/jams/juice)</t>
  </si>
  <si>
    <t>Semi-dwarf (as listed)</t>
  </si>
  <si>
    <t>Mahaleb</t>
  </si>
  <si>
    <t>17–21 (noted many stay ~12’ in their orchard)</t>
  </si>
  <si>
    <r>
      <rPr>
        <b val="1"/>
        <sz val="12"/>
        <color indexed="8"/>
        <rFont val="Times Roman"/>
      </rPr>
      <t>Bare Root Hand Select</t>
    </r>
    <r>
      <rPr>
        <sz val="12"/>
        <color indexed="8"/>
        <rFont val="Times Roman"/>
      </rPr>
      <t xml:space="preserve"> ships 6–7’ (¾”+ caliper)</t>
    </r>
  </si>
  <si>
    <t>Zones 4–9</t>
  </si>
  <si>
    <t>Generally end of June – early July (example: first harvest June 27, 2025)</t>
  </si>
  <si>
    <t>Bright red fruit, clear juicy flesh, very tart, “industry standard” for cooking/baking/jams/jellies</t>
  </si>
  <si>
    <t>Very winter hardy, very productive</t>
  </si>
  <si>
    <r>
      <rPr>
        <b val="1"/>
        <sz val="12"/>
        <color indexed="8"/>
        <rFont val="Times Roman"/>
      </rPr>
      <t>Self-fertile</t>
    </r>
    <r>
      <rPr>
        <sz val="12"/>
        <color indexed="8"/>
        <rFont val="Times Roman"/>
      </rPr>
      <t>, pollination not required, will pollinate other tart cherries</t>
    </r>
  </si>
  <si>
    <r>
      <rPr>
        <sz val="12"/>
        <color indexed="8"/>
        <rFont val="Times Roman"/>
      </rPr>
      <t xml:space="preserve">Page has multiple variants and prices ($17–$199), row assumes </t>
    </r>
    <r>
      <rPr>
        <b val="1"/>
        <sz val="12"/>
        <color indexed="8"/>
        <rFont val="Times Roman"/>
      </rPr>
      <t>Hand Select bare root</t>
    </r>
    <r>
      <rPr>
        <sz val="12"/>
        <color indexed="8"/>
        <rFont val="Times Roman"/>
      </rPr>
      <t xml:space="preserve"> for consistency with your other orders</t>
    </r>
  </si>
  <si>
    <t>Balaton</t>
  </si>
  <si>
    <r>
      <rPr>
        <u val="single"/>
        <sz val="12"/>
        <color indexed="16"/>
        <rFont val="Times Roman"/>
      </rPr>
      <t>https://rootstofruitsnursery.com/collections/pie-cherry-trees/products/balaton</t>
    </r>
    <r>
      <rPr>
        <sz val="12"/>
        <color indexed="8"/>
        <rFont val="Times Roman"/>
      </rPr>
      <t xml:space="preserve"> (</t>
    </r>
    <r>
      <rPr>
        <u val="single"/>
        <sz val="12"/>
        <color indexed="16"/>
        <rFont val="Times Roman"/>
      </rPr>
      <t>Roots to Fruits Nursery</t>
    </r>
    <r>
      <rPr>
        <sz val="12"/>
        <color indexed="8"/>
        <rFont val="Times Roman"/>
      </rPr>
      <t>)</t>
    </r>
  </si>
  <si>
    <t>Pie cherry (baking, deep color)</t>
  </si>
  <si>
    <t>Mazzard</t>
  </si>
  <si>
    <t>~17–21 (page also shows “17–20 at maturity” in variant list)</t>
  </si>
  <si>
    <t>July (noted: about 1–10 days after Montmorency; example harvest began early July 2024)</t>
  </si>
  <si>
    <t>Morello-style, dark red skin + dark flesh, large for tart cherry, vibrant sweet-tart, strong color bleed in baking</t>
  </si>
  <si>
    <t>“Resistant to many common cherry diseases” (general statement)</t>
  </si>
  <si>
    <r>
      <rPr>
        <b val="1"/>
        <sz val="12"/>
        <color indexed="8"/>
        <rFont val="Times Roman"/>
      </rPr>
      <t>Self-fertile</t>
    </r>
    <r>
      <rPr>
        <sz val="12"/>
        <color indexed="8"/>
        <rFont val="Times Roman"/>
      </rPr>
      <t>, pollination not required, but higher yield with another tart cherry nearby</t>
    </r>
  </si>
  <si>
    <r>
      <rPr>
        <sz val="12"/>
        <color indexed="8"/>
        <rFont val="Times Roman"/>
      </rPr>
      <t xml:space="preserve">Page has multiple variants and prices ($41–$99), row assumes </t>
    </r>
    <r>
      <rPr>
        <b val="1"/>
        <sz val="12"/>
        <color indexed="8"/>
        <rFont val="Times Roman"/>
      </rPr>
      <t>Hand Select bare root</t>
    </r>
    <r>
      <rPr>
        <sz val="12"/>
        <color indexed="8"/>
        <rFont val="Times Roman"/>
      </rPr>
      <t xml:space="preserve"> for consistency</t>
    </r>
  </si>
  <si>
    <t>Trees of Antiquity</t>
  </si>
  <si>
    <r>
      <rPr>
        <b val="1"/>
        <u val="single"/>
        <sz val="12"/>
        <color indexed="8"/>
        <rFont val="Times Roman"/>
      </rPr>
      <t>TreesOfAntiquity.com</t>
    </r>
  </si>
  <si>
    <t>Stanley</t>
  </si>
  <si>
    <r>
      <rPr>
        <u val="single"/>
        <sz val="12"/>
        <color indexed="16"/>
        <rFont val="Times Roman"/>
      </rPr>
      <t>https://www.treesofantiquity.com/products/stanley-plum</t>
    </r>
  </si>
  <si>
    <t>European (later bloom, prune plum)</t>
  </si>
  <si>
    <t>Dwarf</t>
  </si>
  <si>
    <t>Early–Mid Sept</t>
  </si>
  <si>
    <t>Classic prune plum, dependable</t>
  </si>
  <si>
    <t>Later than hybrids</t>
  </si>
  <si>
    <t>Later bloom helps frost safety</t>
  </si>
  <si>
    <r>
      <rPr>
        <u val="single"/>
        <sz val="12"/>
        <color indexed="8"/>
        <rFont val="Times Roman"/>
      </rPr>
      <t>TreesOfAntiquity.com</t>
    </r>
  </si>
  <si>
    <t>Rubinette</t>
  </si>
  <si>
    <r>
      <rPr>
        <u val="single"/>
        <sz val="12"/>
        <color indexed="16"/>
        <rFont val="Times Roman"/>
      </rPr>
      <t>https://www.treesofantiquity.com/products/rubinette-apple?_pos=1&amp;_psq=rubinette&amp;_ss=e&amp;_v=1.0</t>
    </r>
  </si>
  <si>
    <t>MM111</t>
  </si>
  <si>
    <t>4–5 ft shipping height</t>
  </si>
  <si>
    <t>Sept 25 – Oct 10 (from Driftless block)</t>
  </si>
  <si>
    <t>High</t>
  </si>
  <si>
    <t>Aggressive thinning, avoid overcropping and “show-off” crop</t>
  </si>
  <si>
    <t>Prone to biennial bearing</t>
  </si>
  <si>
    <t>Harry Masters Jersey</t>
  </si>
  <si>
    <r>
      <rPr>
        <u val="single"/>
        <sz val="12"/>
        <color indexed="16"/>
        <rFont val="Times Roman"/>
      </rPr>
      <t>https://www.treesofantiquity.com/products/harry-master-jersey-apple</t>
    </r>
  </si>
  <si>
    <t>12–16</t>
  </si>
  <si>
    <t>4–5 ft shipping</t>
  </si>
  <si>
    <t>Late Sept – Mid Oct</t>
  </si>
  <si>
    <t>Medium tannin, high acid</t>
  </si>
  <si>
    <t>Moderate thinning, manage like English cider types</t>
  </si>
  <si>
    <t>Complex balanced cider</t>
  </si>
  <si>
    <t>East Hill Tree Farm</t>
  </si>
  <si>
    <r>
      <rPr>
        <u val="single"/>
        <sz val="12"/>
        <color indexed="8"/>
        <rFont val="Times Roman"/>
      </rPr>
      <t>EastHillTreeFarm.com</t>
    </r>
  </si>
  <si>
    <t>Yarlington Mill</t>
  </si>
  <si>
    <r>
      <rPr>
        <u val="single"/>
        <sz val="12"/>
        <color indexed="16"/>
        <rFont val="Times Roman"/>
      </rPr>
      <t>https://easthilltreefarm.com/products/yarlington-mill</t>
    </r>
  </si>
  <si>
    <t>Moderate to high</t>
  </si>
  <si>
    <t>Thin early and decisively 2–3 weeks after bloom, one fruit per spur, open canopy</t>
  </si>
  <si>
    <t>Note in paste: “75–85%” (meaning unclear)</t>
  </si>
  <si>
    <t>Raintree Nursery</t>
  </si>
  <si>
    <r>
      <rPr>
        <b val="1"/>
        <u val="single"/>
        <sz val="12"/>
        <color indexed="8"/>
        <rFont val="Times Roman"/>
      </rPr>
      <t>RaintreeNursery.com</t>
    </r>
  </si>
  <si>
    <t>Foxwhelp</t>
  </si>
  <si>
    <r>
      <rPr>
        <u val="single"/>
        <sz val="12"/>
        <color indexed="16"/>
        <rFont val="Times Roman"/>
      </rPr>
      <t>https://raintreenursery.com/products/foxwhelp-cider-apple-semi-dwarf</t>
    </r>
  </si>
  <si>
    <t>Bittersharp (high tannin + high acid)</t>
  </si>
  <si>
    <t>15–18</t>
  </si>
  <si>
    <t>High tannin, high acid</t>
  </si>
  <si>
    <t>Aggressive thinning, do not allow cluster crowding</t>
  </si>
  <si>
    <t>Punchy blend structure</t>
  </si>
  <si>
    <r>
      <rPr>
        <u val="single"/>
        <sz val="12"/>
        <color indexed="8"/>
        <rFont val="Times Roman"/>
      </rPr>
      <t>RaintreeNursery.com</t>
    </r>
  </si>
  <si>
    <t>Mount Royal</t>
  </si>
  <si>
    <r>
      <rPr>
        <u val="single"/>
        <sz val="12"/>
        <color indexed="16"/>
        <rFont val="Times Roman"/>
      </rPr>
      <t>https://raintreenursery.com/products/mount-royal-e-plum-semi-dwarf</t>
    </r>
  </si>
  <si>
    <t>European (hardy)</t>
  </si>
  <si>
    <t>~49–69</t>
  </si>
  <si>
    <t>Semi-vigorous</t>
  </si>
  <si>
    <t>4–5 ft typical</t>
  </si>
  <si>
    <t>Sweet, freestone</t>
  </si>
  <si>
    <t>Later bloom</t>
  </si>
  <si>
    <t>One of hardiest European plums</t>
  </si>
  <si>
    <t>Blue Hill Wildlife Nursery</t>
  </si>
  <si>
    <r>
      <rPr>
        <b val="1"/>
        <u val="single"/>
        <sz val="12"/>
        <color indexed="8"/>
        <rFont val="Times Roman"/>
      </rPr>
      <t>BlueHillWildlifeNursery.com</t>
    </r>
  </si>
  <si>
    <t>Priscilla</t>
  </si>
  <si>
    <r>
      <rPr>
        <u val="single"/>
        <sz val="12"/>
        <color indexed="16"/>
        <rFont val="Times Roman"/>
      </rPr>
      <t>https://bluehillwildlifenursery.com/product/priscilla-apple-tree/</t>
    </r>
  </si>
  <si>
    <t>Standard</t>
  </si>
  <si>
    <t>Sharp (low tannin, medium acid)</t>
  </si>
  <si>
    <t>4–6 ft shipping</t>
  </si>
  <si>
    <t>Sept 15 – Sept 30</t>
  </si>
  <si>
    <t>Low tannin, medium acid</t>
  </si>
  <si>
    <t>Minimal intervention, strong annual bearer</t>
  </si>
  <si>
    <t>Strong disease resistance</t>
  </si>
  <si>
    <t>Fedco Seeds</t>
  </si>
  <si>
    <r>
      <rPr>
        <b val="1"/>
        <u val="single"/>
        <sz val="12"/>
        <color indexed="8"/>
        <rFont val="Times Roman"/>
      </rPr>
      <t>https://fedcoseeds.com/</t>
    </r>
  </si>
  <si>
    <t>Zestar!</t>
  </si>
  <si>
    <r>
      <rPr>
        <u val="single"/>
        <sz val="12"/>
        <color indexed="16"/>
        <rFont val="Times Roman"/>
      </rPr>
      <t>https://rootstofruitsnursery.com/products/zestar</t>
    </r>
  </si>
  <si>
    <t>Eating + light baking (early WI staple)</t>
  </si>
  <si>
    <t>Fresh eating, light baking</t>
  </si>
  <si>
    <t>Reliable early WI apple, balanced flavor</t>
  </si>
  <si>
    <r>
      <rPr>
        <u val="single"/>
        <sz val="12"/>
        <color indexed="8"/>
        <rFont val="Times Roman"/>
      </rPr>
      <t>FedcoSeeds.com</t>
    </r>
  </si>
  <si>
    <t>Valor</t>
  </si>
  <si>
    <r>
      <rPr>
        <u val="single"/>
        <sz val="12"/>
        <color indexed="16"/>
        <rFont val="Times Roman"/>
      </rPr>
      <t>https://fedcoseeds.com/trees/valor-european-plum-7418</t>
    </r>
  </si>
  <si>
    <t>European (later ripening)</t>
  </si>
  <si>
    <t>~49–59</t>
  </si>
  <si>
    <t>More vigorous</t>
  </si>
  <si>
    <t>Late Sept</t>
  </si>
  <si>
    <t>High dessert quality</t>
  </si>
  <si>
    <t>Needs good season length</t>
  </si>
  <si>
    <t>Late spring</t>
  </si>
  <si>
    <t>Benefits from another European plum</t>
  </si>
  <si>
    <t>Might be pushing it in far northern WI</t>
  </si>
  <si>
    <t>Stark Bros</t>
  </si>
  <si>
    <r>
      <rPr>
        <b val="1"/>
        <u val="single"/>
        <sz val="12"/>
        <color indexed="8"/>
        <rFont val="Times Roman"/>
      </rPr>
      <t>https://www.starkbros.com/</t>
    </r>
  </si>
  <si>
    <t>Superior</t>
  </si>
  <si>
    <r>
      <rPr>
        <u val="single"/>
        <sz val="12"/>
        <color indexed="16"/>
        <rFont val="Times Roman"/>
      </rPr>
      <t>https://www.starkbros.com/products/fruit-trees/plum-trees/superior-plum</t>
    </r>
  </si>
  <si>
    <t>Hybrid/Japanese-American</t>
  </si>
  <si>
    <t>Large red fruit, sweet yellow flesh</t>
  </si>
  <si>
    <t>Needs pollinator (Toka/Black Ice)</t>
  </si>
  <si>
    <t>Productive, cold hardy hybrid</t>
  </si>
  <si>
    <r>
      <rPr>
        <u val="single"/>
        <sz val="12"/>
        <color indexed="8"/>
        <rFont val="Times Roman"/>
      </rPr>
      <t>StarkBros.com</t>
    </r>
  </si>
  <si>
    <t>Blushingstar</t>
  </si>
  <si>
    <r>
      <rPr>
        <u val="single"/>
        <sz val="12"/>
        <color indexed="16"/>
        <rFont val="Times Roman"/>
      </rPr>
      <t>https://www.starkbros.com/products/fruit-trees/peach-trees/blushingstar-peach</t>
    </r>
  </si>
  <si>
    <t>Cold-hardy white peach</t>
  </si>
  <si>
    <t>10–12</t>
  </si>
  <si>
    <t>3–4 ft bare-root, ~3/8″ trunk</t>
  </si>
  <si>
    <t>Mid-Aug</t>
  </si>
  <si>
    <t>Sweet, aromatic white flesh, low acidity</t>
  </si>
  <si>
    <t>High eating quality</t>
  </si>
  <si>
    <t>Bounty</t>
  </si>
  <si>
    <r>
      <rPr>
        <u val="single"/>
        <sz val="12"/>
        <color indexed="16"/>
        <rFont val="Times Roman"/>
      </rPr>
      <t>https://www.starkbros.com/products/fruit-trees/peach-trees/bounty-peach</t>
    </r>
  </si>
  <si>
    <t>All-purpose peach</t>
  </si>
  <si>
    <t>Late Aug</t>
  </si>
  <si>
    <t>Reliable productivity</t>
  </si>
  <si>
    <t>Logees</t>
  </si>
  <si>
    <t>Persimmon (American)</t>
  </si>
  <si>
    <r>
      <rPr>
        <u val="single"/>
        <sz val="12"/>
        <color indexed="8"/>
        <rFont val="Times Roman"/>
      </rPr>
      <t>https://www.logees.com/</t>
    </r>
  </si>
  <si>
    <t>Meader</t>
  </si>
  <si>
    <r>
      <rPr>
        <u val="single"/>
        <sz val="12"/>
        <color indexed="16"/>
        <rFont val="Times Roman"/>
      </rPr>
      <t>https://www.logees.com/products/persimmon-tree-meader?variant=47151157346555</t>
    </r>
  </si>
  <si>
    <t>Deep-fall fruit</t>
  </si>
  <si>
    <t>Semi-dwarf (as written)</t>
  </si>
  <si>
    <t>15-20</t>
  </si>
  <si>
    <t>~3–4 ft bare-root, ~3/8″ trunk (typical)</t>
  </si>
  <si>
    <t>Oct – Nov</t>
  </si>
  <si>
    <t>Sweet rich orange fruit when soft, great for baking/drying/preserves</t>
  </si>
  <si>
    <t>Mostly self-fertile, improved yield with others nearby</t>
  </si>
  <si>
    <t>Classic northern persimmon, larger fruit, good cold survival</t>
  </si>
  <si>
    <t>Prairie Star®</t>
  </si>
  <si>
    <r>
      <rPr>
        <u val="single"/>
        <sz val="12"/>
        <color indexed="16"/>
        <rFont val="Times Roman"/>
      </rPr>
      <t>https://www.logees.com/products/american-persimmon-tree-prairie-star?variant=47151167668475</t>
    </r>
  </si>
  <si>
    <t>Fall fruit</t>
  </si>
  <si>
    <t>~12–20</t>
  </si>
  <si>
    <t>~2–4 ft bare-root whip</t>
  </si>
  <si>
    <t>Sweet, smooth fruit, good for desserts/drying/preserves</t>
  </si>
  <si>
    <t>Dependable cold-climate choice</t>
  </si>
  <si>
    <t>madisoncitrusnursery</t>
  </si>
  <si>
    <r>
      <rPr>
        <u val="single"/>
        <sz val="12"/>
        <color indexed="8"/>
        <rFont val="Times Roman"/>
      </rPr>
      <t>https://madisoncitrusnursery.com/</t>
    </r>
  </si>
  <si>
    <t>Prairie Dawn®</t>
  </si>
  <si>
    <r>
      <rPr>
        <u val="single"/>
        <sz val="12"/>
        <color indexed="16"/>
        <rFont val="Times Roman"/>
      </rPr>
      <t>https://madisoncitrusnursery.com/products/prarie-dawn-persimmon-tree-for-sale</t>
    </r>
  </si>
  <si>
    <t>Earlier fall fruit</t>
  </si>
  <si>
    <t>Late Sept – Oct (often earlier than others)</t>
  </si>
  <si>
    <t>Sweet, flavorful fruit, good for fresh/cooking/drying</t>
  </si>
  <si>
    <t>Earlier ripening helps spread window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</si>
</sst>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m-d"/>
  </numFmts>
  <fonts count="8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b val="1"/>
      <sz val="12"/>
      <color indexed="8"/>
      <name val="Times Roman"/>
    </font>
    <font>
      <sz val="12"/>
      <color indexed="8"/>
      <name val="Times Roman"/>
    </font>
    <font>
      <u val="single"/>
      <sz val="12"/>
      <color indexed="8"/>
      <name val="Times Roman"/>
    </font>
    <font>
      <u val="single"/>
      <sz val="12"/>
      <color indexed="16"/>
      <name val="Times Roman"/>
    </font>
    <font>
      <b val="1"/>
      <u val="single"/>
      <sz val="12"/>
      <color indexed="8"/>
      <name val="Times Roman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</fills>
  <borders count="15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14"/>
      </bottom>
      <diagonal/>
    </border>
    <border>
      <left style="thin">
        <color indexed="10"/>
      </left>
      <right style="thin">
        <color indexed="10"/>
      </right>
      <top style="thin">
        <color indexed="14"/>
      </top>
      <bottom style="thin">
        <color indexed="10"/>
      </bottom>
      <diagonal/>
    </border>
    <border>
      <left style="thin">
        <color indexed="10"/>
      </left>
      <right style="thin">
        <color indexed="14"/>
      </right>
      <top style="thin">
        <color indexed="14"/>
      </top>
      <bottom style="thin">
        <color indexed="10"/>
      </bottom>
      <diagonal/>
    </border>
    <border>
      <left style="thin">
        <color indexed="14"/>
      </left>
      <right style="thin">
        <color indexed="10"/>
      </right>
      <top style="thin">
        <color indexed="14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4"/>
      </right>
      <top style="thin">
        <color indexed="10"/>
      </top>
      <bottom style="thin">
        <color indexed="10"/>
      </bottom>
      <diagonal/>
    </border>
    <border>
      <left style="thin">
        <color indexed="14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4"/>
      </right>
      <top style="thin">
        <color indexed="10"/>
      </top>
      <bottom style="medium">
        <color indexed="8"/>
      </bottom>
      <diagonal/>
    </border>
    <border>
      <left style="thin">
        <color indexed="14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4"/>
      </top>
      <bottom style="medium">
        <color indexed="8"/>
      </bottom>
      <diagonal/>
    </border>
    <border>
      <left style="thin">
        <color indexed="10"/>
      </left>
      <right style="thin">
        <color indexed="14"/>
      </right>
      <top style="thin">
        <color indexed="14"/>
      </top>
      <bottom style="medium">
        <color indexed="8"/>
      </bottom>
      <diagonal/>
    </border>
    <border>
      <left style="thin">
        <color indexed="14"/>
      </left>
      <right style="thin">
        <color indexed="10"/>
      </right>
      <top style="thin">
        <color indexed="14"/>
      </top>
      <bottom style="medium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6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49" fontId="3" borderId="1" applyNumberFormat="1" applyFont="1" applyFill="0" applyBorder="1" applyAlignment="1" applyProtection="0">
      <alignment horizontal="center" vertical="center" wrapText="1" readingOrder="1"/>
    </xf>
    <xf numFmtId="49" fontId="3" borderId="1" applyNumberFormat="1" applyFont="1" applyFill="0" applyBorder="1" applyAlignment="1" applyProtection="0">
      <alignment horizontal="right" vertical="center" wrapText="1" readingOrder="1"/>
    </xf>
    <xf numFmtId="49" fontId="2" fillId="3" borderId="2" applyNumberFormat="1" applyFont="1" applyFill="1" applyBorder="1" applyAlignment="1" applyProtection="0">
      <alignment vertical="top"/>
    </xf>
    <xf numFmtId="0" fontId="2" fillId="3" borderId="2" applyNumberFormat="0" applyFont="1" applyFill="1" applyBorder="1" applyAlignment="1" applyProtection="0">
      <alignment vertical="top"/>
    </xf>
    <xf numFmtId="0" fontId="2" fillId="3" borderId="2" applyNumberFormat="0" applyFont="1" applyFill="1" applyBorder="1" applyAlignment="1" applyProtection="0">
      <alignment horizontal="center" vertical="top"/>
    </xf>
    <xf numFmtId="49" fontId="2" fillId="4" borderId="2" applyNumberFormat="1" applyFont="1" applyFill="1" applyBorder="1" applyAlignment="1" applyProtection="0">
      <alignment vertical="top"/>
    </xf>
    <xf numFmtId="0" fontId="2" fillId="4" borderId="2" applyNumberFormat="0" applyFont="1" applyFill="1" applyBorder="1" applyAlignment="1" applyProtection="0">
      <alignment vertical="top"/>
    </xf>
    <xf numFmtId="0" fontId="2" fillId="4" borderId="2" applyNumberFormat="0" applyFont="1" applyFill="1" applyBorder="1" applyAlignment="1" applyProtection="0">
      <alignment horizontal="center" vertical="top"/>
    </xf>
    <xf numFmtId="49" fontId="2" fillId="5" borderId="3" applyNumberFormat="1" applyFont="1" applyFill="1" applyBorder="1" applyAlignment="1" applyProtection="0">
      <alignment vertical="top"/>
    </xf>
    <xf numFmtId="0" fontId="2" fillId="5" borderId="3" applyNumberFormat="0" applyFont="1" applyFill="1" applyBorder="1" applyAlignment="1" applyProtection="0">
      <alignment vertical="top"/>
    </xf>
    <xf numFmtId="0" fontId="2" fillId="5" borderId="3" applyNumberFormat="0" applyFont="1" applyFill="1" applyBorder="1" applyAlignment="1" applyProtection="0">
      <alignment horizontal="center" vertical="top"/>
    </xf>
    <xf numFmtId="0" fontId="2" fillId="6" borderId="4" applyNumberFormat="0" applyFont="1" applyFill="1" applyBorder="1" applyAlignment="1" applyProtection="0">
      <alignment vertical="top" wrapText="1"/>
    </xf>
    <xf numFmtId="49" fontId="4" borderId="4" applyNumberFormat="1" applyFont="1" applyFill="0" applyBorder="1" applyAlignment="1" applyProtection="0">
      <alignment vertical="center" wrapText="1" readingOrder="1"/>
    </xf>
    <xf numFmtId="49" fontId="4" borderId="5" applyNumberFormat="1" applyFont="1" applyFill="0" applyBorder="1" applyAlignment="1" applyProtection="0">
      <alignment vertical="center" wrapText="1" readingOrder="1"/>
    </xf>
    <xf numFmtId="0" fontId="4" borderId="6" applyNumberFormat="1" applyFont="1" applyFill="0" applyBorder="1" applyAlignment="1" applyProtection="0">
      <alignment horizontal="center" vertical="center" wrapText="1" readingOrder="1"/>
    </xf>
    <xf numFmtId="49" fontId="6" borderId="4" applyNumberFormat="1" applyFont="1" applyFill="0" applyBorder="1" applyAlignment="1" applyProtection="0">
      <alignment vertical="center" wrapText="1" readingOrder="1"/>
    </xf>
    <xf numFmtId="0" fontId="4" borderId="4" applyNumberFormat="0" applyFont="1" applyFill="0" applyBorder="1" applyAlignment="1" applyProtection="0">
      <alignment vertical="center" wrapText="1" readingOrder="1"/>
    </xf>
    <xf numFmtId="0" fontId="4" borderId="4" applyNumberFormat="1" applyFont="1" applyFill="0" applyBorder="1" applyAlignment="1" applyProtection="0">
      <alignment vertical="center" wrapText="1" readingOrder="1"/>
    </xf>
    <xf numFmtId="49" fontId="4" borderId="4" applyNumberFormat="1" applyFont="1" applyFill="0" applyBorder="1" applyAlignment="1" applyProtection="0">
      <alignment horizontal="center" vertical="center" wrapText="1" readingOrder="1"/>
    </xf>
    <xf numFmtId="0" fontId="2" fillId="6" borderId="7" applyNumberFormat="0" applyFont="1" applyFill="1" applyBorder="1" applyAlignment="1" applyProtection="0">
      <alignment vertical="top" wrapText="1"/>
    </xf>
    <xf numFmtId="49" fontId="4" borderId="7" applyNumberFormat="1" applyFont="1" applyFill="0" applyBorder="1" applyAlignment="1" applyProtection="0">
      <alignment vertical="center" wrapText="1" readingOrder="1"/>
    </xf>
    <xf numFmtId="49" fontId="4" borderId="8" applyNumberFormat="1" applyFont="1" applyFill="0" applyBorder="1" applyAlignment="1" applyProtection="0">
      <alignment vertical="center" wrapText="1" readingOrder="1"/>
    </xf>
    <xf numFmtId="0" fontId="4" borderId="9" applyNumberFormat="1" applyFont="1" applyFill="0" applyBorder="1" applyAlignment="1" applyProtection="0">
      <alignment horizontal="center" vertical="center" wrapText="1" readingOrder="1"/>
    </xf>
    <xf numFmtId="49" fontId="6" borderId="7" applyNumberFormat="1" applyFont="1" applyFill="0" applyBorder="1" applyAlignment="1" applyProtection="0">
      <alignment vertical="center" wrapText="1" readingOrder="1"/>
    </xf>
    <xf numFmtId="0" fontId="4" borderId="7" applyNumberFormat="0" applyFont="1" applyFill="0" applyBorder="1" applyAlignment="1" applyProtection="0">
      <alignment vertical="center" wrapText="1" readingOrder="1"/>
    </xf>
    <xf numFmtId="0" fontId="4" borderId="7" applyNumberFormat="1" applyFont="1" applyFill="0" applyBorder="1" applyAlignment="1" applyProtection="0">
      <alignment vertical="center" wrapText="1" readingOrder="1"/>
    </xf>
    <xf numFmtId="49" fontId="4" borderId="7" applyNumberFormat="1" applyFont="1" applyFill="0" applyBorder="1" applyAlignment="1" applyProtection="0">
      <alignment horizontal="center" vertical="center" wrapText="1" readingOrder="1"/>
    </xf>
    <xf numFmtId="0" fontId="4" borderId="7" applyNumberFormat="1" applyFont="1" applyFill="0" applyBorder="1" applyAlignment="1" applyProtection="0">
      <alignment horizontal="center" vertical="center" wrapText="1" readingOrder="1"/>
    </xf>
    <xf numFmtId="49" fontId="3" borderId="8" applyNumberFormat="1" applyFont="1" applyFill="0" applyBorder="1" applyAlignment="1" applyProtection="0">
      <alignment vertical="center" wrapText="1" readingOrder="1"/>
    </xf>
    <xf numFmtId="0" fontId="2" fillId="6" borderId="1" applyNumberFormat="0" applyFont="1" applyFill="1" applyBorder="1" applyAlignment="1" applyProtection="0">
      <alignment vertical="top" wrapText="1"/>
    </xf>
    <xf numFmtId="49" fontId="4" borderId="1" applyNumberFormat="1" applyFont="1" applyFill="0" applyBorder="1" applyAlignment="1" applyProtection="0">
      <alignment vertical="center" wrapText="1" readingOrder="1"/>
    </xf>
    <xf numFmtId="49" fontId="4" borderId="10" applyNumberFormat="1" applyFont="1" applyFill="0" applyBorder="1" applyAlignment="1" applyProtection="0">
      <alignment vertical="center" wrapText="1" readingOrder="1"/>
    </xf>
    <xf numFmtId="0" fontId="4" borderId="11" applyNumberFormat="1" applyFont="1" applyFill="0" applyBorder="1" applyAlignment="1" applyProtection="0">
      <alignment horizontal="center" vertical="center" wrapText="1" readingOrder="1"/>
    </xf>
    <xf numFmtId="49" fontId="6" borderId="1" applyNumberFormat="1" applyFont="1" applyFill="0" applyBorder="1" applyAlignment="1" applyProtection="0">
      <alignment vertical="center" wrapText="1" readingOrder="1"/>
    </xf>
    <xf numFmtId="0" fontId="4" borderId="1" applyNumberFormat="0" applyFont="1" applyFill="0" applyBorder="1" applyAlignment="1" applyProtection="0">
      <alignment vertical="center" wrapText="1" readingOrder="1"/>
    </xf>
    <xf numFmtId="0" fontId="4" borderId="1" applyNumberFormat="1" applyFont="1" applyFill="0" applyBorder="1" applyAlignment="1" applyProtection="0">
      <alignment vertical="center" wrapText="1" readingOrder="1"/>
    </xf>
    <xf numFmtId="49" fontId="4" borderId="1" applyNumberFormat="1" applyFont="1" applyFill="0" applyBorder="1" applyAlignment="1" applyProtection="0">
      <alignment horizontal="center" vertical="center" wrapText="1" readingOrder="1"/>
    </xf>
    <xf numFmtId="0" fontId="0" borderId="7" applyNumberFormat="0" applyFont="1" applyFill="0" applyBorder="1" applyAlignment="1" applyProtection="0">
      <alignment vertical="center" wrapText="1"/>
    </xf>
    <xf numFmtId="0" fontId="0" borderId="1" applyNumberFormat="0" applyFont="1" applyFill="0" applyBorder="1" applyAlignment="1" applyProtection="0">
      <alignment vertical="center" wrapText="1"/>
    </xf>
    <xf numFmtId="59" fontId="4" borderId="4" applyNumberFormat="1" applyFont="1" applyFill="0" applyBorder="1" applyAlignment="1" applyProtection="0">
      <alignment vertical="center" wrapText="1" readingOrder="1"/>
    </xf>
    <xf numFmtId="0" fontId="0" borderId="1" applyNumberFormat="1" applyFont="1" applyFill="0" applyBorder="1" applyAlignment="1" applyProtection="0">
      <alignment vertical="center" wrapText="1"/>
    </xf>
    <xf numFmtId="59" fontId="4" borderId="1" applyNumberFormat="1" applyFont="1" applyFill="0" applyBorder="1" applyAlignment="1" applyProtection="0">
      <alignment vertical="center" wrapText="1" readingOrder="1"/>
    </xf>
    <xf numFmtId="0" fontId="0" borderId="4" applyNumberFormat="1" applyFont="1" applyFill="0" applyBorder="1" applyAlignment="1" applyProtection="0">
      <alignment vertical="center" wrapText="1"/>
    </xf>
    <xf numFmtId="0" fontId="0" borderId="7" applyNumberFormat="1" applyFont="1" applyFill="0" applyBorder="1" applyAlignment="1" applyProtection="0">
      <alignment vertical="center" wrapText="1"/>
    </xf>
    <xf numFmtId="0" fontId="2" fillId="6" borderId="12" applyNumberFormat="0" applyFont="1" applyFill="1" applyBorder="1" applyAlignment="1" applyProtection="0">
      <alignment vertical="top" wrapText="1"/>
    </xf>
    <xf numFmtId="49" fontId="4" borderId="12" applyNumberFormat="1" applyFont="1" applyFill="0" applyBorder="1" applyAlignment="1" applyProtection="0">
      <alignment vertical="center" wrapText="1" readingOrder="1"/>
    </xf>
    <xf numFmtId="49" fontId="4" borderId="13" applyNumberFormat="1" applyFont="1" applyFill="0" applyBorder="1" applyAlignment="1" applyProtection="0">
      <alignment vertical="center" wrapText="1" readingOrder="1"/>
    </xf>
    <xf numFmtId="0" fontId="4" borderId="14" applyNumberFormat="1" applyFont="1" applyFill="0" applyBorder="1" applyAlignment="1" applyProtection="0">
      <alignment horizontal="center" vertical="center" wrapText="1" readingOrder="1"/>
    </xf>
    <xf numFmtId="49" fontId="6" borderId="12" applyNumberFormat="1" applyFont="1" applyFill="0" applyBorder="1" applyAlignment="1" applyProtection="0">
      <alignment vertical="center" wrapText="1" readingOrder="1"/>
    </xf>
    <xf numFmtId="0" fontId="4" borderId="12" applyNumberFormat="0" applyFont="1" applyFill="0" applyBorder="1" applyAlignment="1" applyProtection="0">
      <alignment vertical="center" wrapText="1" readingOrder="1"/>
    </xf>
    <xf numFmtId="0" fontId="4" borderId="12" applyNumberFormat="1" applyFont="1" applyFill="0" applyBorder="1" applyAlignment="1" applyProtection="0">
      <alignment vertical="center" wrapText="1" readingOrder="1"/>
    </xf>
    <xf numFmtId="0" fontId="0" borderId="12" applyNumberFormat="1" applyFont="1" applyFill="0" applyBorder="1" applyAlignment="1" applyProtection="0">
      <alignment vertical="center" wrapText="1"/>
    </xf>
    <xf numFmtId="49" fontId="4" borderId="12" applyNumberFormat="1" applyFont="1" applyFill="0" applyBorder="1" applyAlignment="1" applyProtection="0">
      <alignment horizontal="center" vertical="center" wrapText="1" readingOrder="1"/>
    </xf>
    <xf numFmtId="49" fontId="3" borderId="12" applyNumberFormat="1" applyFont="1" applyFill="0" applyBorder="1" applyAlignment="1" applyProtection="0">
      <alignment vertical="center" wrapText="1" readingOrder="1"/>
    </xf>
    <xf numFmtId="59" fontId="4" borderId="12" applyNumberFormat="1" applyFont="1" applyFill="0" applyBorder="1" applyAlignment="1" applyProtection="0">
      <alignment vertical="center" wrapText="1" readingOrder="1"/>
    </xf>
    <xf numFmtId="49" fontId="3" borderId="1" applyNumberFormat="1" applyFont="1" applyFill="0" applyBorder="1" applyAlignment="1" applyProtection="0">
      <alignment vertical="center" wrapText="1" readingOrder="1"/>
    </xf>
    <xf numFmtId="0" fontId="4" borderId="1" applyNumberFormat="1" applyFont="1" applyFill="0" applyBorder="1" applyAlignment="1" applyProtection="0">
      <alignment horizontal="center" vertical="center" wrapText="1" readingOrder="1"/>
    </xf>
    <xf numFmtId="0" fontId="4" borderId="12" applyNumberFormat="1" applyFont="1" applyFill="0" applyBorder="1" applyAlignment="1" applyProtection="0">
      <alignment horizontal="center" vertical="center" wrapText="1" readingOrder="1"/>
    </xf>
    <xf numFmtId="0" fontId="0" borderId="12" applyNumberFormat="0" applyFont="1" applyFill="0" applyBorder="1" applyAlignment="1" applyProtection="0">
      <alignment vertical="center" wrapText="1"/>
    </xf>
    <xf numFmtId="0" fontId="0" borderId="4" applyNumberFormat="0" applyFont="1" applyFill="0" applyBorder="1" applyAlignment="1" applyProtection="0">
      <alignment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d3d3d3"/>
      <rgbColor rgb="ffcacaca"/>
      <rgbColor rgb="ffc1c1c1"/>
      <rgbColor rgb="ff3f3f3f"/>
      <rgbColor rgb="ffdbdbdb"/>
      <rgbColor rgb="ff0000e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RootsToFruitsNursery.com" TargetMode="External"/><Relationship Id="rId2" Type="http://schemas.openxmlformats.org/officeDocument/2006/relationships/hyperlink" Target="https://rootstofruitsnursery.com/products/browns-snout?variant=45421334102212" TargetMode="External"/><Relationship Id="rId3" Type="http://schemas.openxmlformats.org/officeDocument/2006/relationships/hyperlink" Target="http://RootsToFruitsNursery.com" TargetMode="External"/><Relationship Id="rId4" Type="http://schemas.openxmlformats.org/officeDocument/2006/relationships/hyperlink" Target="https://rootstofruitsnursery.com/products/crimsoncrisp?variant=41771952177348" TargetMode="External"/><Relationship Id="rId5" Type="http://schemas.openxmlformats.org/officeDocument/2006/relationships/hyperlink" Target="http://RootsToFruitsNursery.com" TargetMode="External"/><Relationship Id="rId6" Type="http://schemas.openxmlformats.org/officeDocument/2006/relationships/hyperlink" Target="https://rootstofruitsnursery.com/products/goldrush?variant=43694275264708" TargetMode="External"/><Relationship Id="rId7" Type="http://schemas.openxmlformats.org/officeDocument/2006/relationships/hyperlink" Target="http://RootsToFruitsNursery.com" TargetMode="External"/><Relationship Id="rId8" Type="http://schemas.openxmlformats.org/officeDocument/2006/relationships/hyperlink" Target="https://rootstofruitsnursery.com/products/winecrisp?variant=42025650258116" TargetMode="External"/><Relationship Id="rId9" Type="http://schemas.openxmlformats.org/officeDocument/2006/relationships/hyperlink" Target="http://RootsToFruitsNursery.com" TargetMode="External"/><Relationship Id="rId10" Type="http://schemas.openxmlformats.org/officeDocument/2006/relationships/hyperlink" Target="https://rootstofruitsnursery.com/products/enterprise?variant=40992641056964" TargetMode="External"/><Relationship Id="rId11" Type="http://schemas.openxmlformats.org/officeDocument/2006/relationships/hyperlink" Target="http://RootsToFruitsNursery.com" TargetMode="External"/><Relationship Id="rId12" Type="http://schemas.openxmlformats.org/officeDocument/2006/relationships/hyperlink" Target="https://rootstofruitsnursery.com/products/golden-russet?variant=38015222415556" TargetMode="External"/><Relationship Id="rId13" Type="http://schemas.openxmlformats.org/officeDocument/2006/relationships/hyperlink" Target="http://RootsToFruitsNursery.com" TargetMode="External"/><Relationship Id="rId14" Type="http://schemas.openxmlformats.org/officeDocument/2006/relationships/hyperlink" Target="https://rootstofruitsnursery.com/products/roxbury-russet?variant=38041230147780" TargetMode="External"/><Relationship Id="rId15" Type="http://schemas.openxmlformats.org/officeDocument/2006/relationships/hyperlink" Target="http://RootsToFruitsNursery.com" TargetMode="External"/><Relationship Id="rId16" Type="http://schemas.openxmlformats.org/officeDocument/2006/relationships/hyperlink" Target="https://raintreenursery.com/products/liberty-apple-dwarf?variant=31817582313527" TargetMode="External"/><Relationship Id="rId17" Type="http://schemas.openxmlformats.org/officeDocument/2006/relationships/hyperlink" Target="http://RootsToFruitsNursery.com" TargetMode="External"/><Relationship Id="rId18" Type="http://schemas.openxmlformats.org/officeDocument/2006/relationships/hyperlink" Target="https://rootstofruitsnursery.com/products/state-fair-apple" TargetMode="External"/><Relationship Id="rId19" Type="http://schemas.openxmlformats.org/officeDocument/2006/relationships/hyperlink" Target="http://RootsToFruitsNursery.com" TargetMode="External"/><Relationship Id="rId20" Type="http://schemas.openxmlformats.org/officeDocument/2006/relationships/hyperlink" Target="https://rootstofruitsnursery.com/products/honeycrisp" TargetMode="External"/><Relationship Id="rId21" Type="http://schemas.openxmlformats.org/officeDocument/2006/relationships/hyperlink" Target="http://RootsToFruitsNursery.com" TargetMode="External"/><Relationship Id="rId22" Type="http://schemas.openxmlformats.org/officeDocument/2006/relationships/hyperlink" Target="https://rootstofruitsnursery.com/products/snowsweet?variant=44761863979204" TargetMode="External"/><Relationship Id="rId23" Type="http://schemas.openxmlformats.org/officeDocument/2006/relationships/hyperlink" Target="http://RootsToFruitsNursery.com" TargetMode="External"/><Relationship Id="rId24" Type="http://schemas.openxmlformats.org/officeDocument/2006/relationships/hyperlink" Target="https://rootstofruitsnursery.com/products/cortland-apple" TargetMode="External"/><Relationship Id="rId25" Type="http://schemas.openxmlformats.org/officeDocument/2006/relationships/hyperlink" Target="http://RootsToFruitsNursery.com" TargetMode="External"/><Relationship Id="rId26" Type="http://schemas.openxmlformats.org/officeDocument/2006/relationships/hyperlink" Target="https://rootstofruitsnursery.com/products/haralson-apple" TargetMode="External"/><Relationship Id="rId27" Type="http://schemas.openxmlformats.org/officeDocument/2006/relationships/hyperlink" Target="http://RootsToFruitsNursery.com" TargetMode="External"/><Relationship Id="rId28" Type="http://schemas.openxmlformats.org/officeDocument/2006/relationships/hyperlink" Target="https://rootstofruitsnursery.com/products/summercrisp" TargetMode="External"/><Relationship Id="rId29" Type="http://schemas.openxmlformats.org/officeDocument/2006/relationships/hyperlink" Target="http://RootsToFruitsNursery.com" TargetMode="External"/><Relationship Id="rId30" Type="http://schemas.openxmlformats.org/officeDocument/2006/relationships/hyperlink" Target="https://rootstofruitsnursery.com/products/harrowsweet-pear" TargetMode="External"/><Relationship Id="rId31" Type="http://schemas.openxmlformats.org/officeDocument/2006/relationships/hyperlink" Target="http://RootsToFruitsNursery.com" TargetMode="External"/><Relationship Id="rId32" Type="http://schemas.openxmlformats.org/officeDocument/2006/relationships/hyperlink" Target="https://rootstofruitsnursery.com/products/luscious-pear" TargetMode="External"/><Relationship Id="rId33" Type="http://schemas.openxmlformats.org/officeDocument/2006/relationships/hyperlink" Target="http://RootsToFruitsNursery.com" TargetMode="External"/><Relationship Id="rId34" Type="http://schemas.openxmlformats.org/officeDocument/2006/relationships/hyperlink" Target="https://rootstofruitsnursery.com/products/ure-pear" TargetMode="External"/><Relationship Id="rId35" Type="http://schemas.openxmlformats.org/officeDocument/2006/relationships/hyperlink" Target="http://RootsToFruitsNursery.com" TargetMode="External"/><Relationship Id="rId36" Type="http://schemas.openxmlformats.org/officeDocument/2006/relationships/hyperlink" Target="https://rootstofruitsnursery.com/products/seckel-pear" TargetMode="External"/><Relationship Id="rId37" Type="http://schemas.openxmlformats.org/officeDocument/2006/relationships/hyperlink" Target="http://RootsToFruitsNursery.com" TargetMode="External"/><Relationship Id="rId38" Type="http://schemas.openxmlformats.org/officeDocument/2006/relationships/hyperlink" Target="https://rootstofruitsnursery.com/products/patten-pear" TargetMode="External"/><Relationship Id="rId39" Type="http://schemas.openxmlformats.org/officeDocument/2006/relationships/hyperlink" Target="http://RootsToFruitsNursery.com" TargetMode="External"/><Relationship Id="rId40" Type="http://schemas.openxmlformats.org/officeDocument/2006/relationships/hyperlink" Target="https://rootstofruitsnursery.com/products/parker-pear" TargetMode="External"/><Relationship Id="rId41" Type="http://schemas.openxmlformats.org/officeDocument/2006/relationships/hyperlink" Target="http://RootsToFruitsNursery.com" TargetMode="External"/><Relationship Id="rId42" Type="http://schemas.openxmlformats.org/officeDocument/2006/relationships/hyperlink" Target="https://rootstofruitsnursery.com/products/toka" TargetMode="External"/><Relationship Id="rId43" Type="http://schemas.openxmlformats.org/officeDocument/2006/relationships/hyperlink" Target="http://RootsToFruitsNursery.com" TargetMode="External"/><Relationship Id="rId44" Type="http://schemas.openxmlformats.org/officeDocument/2006/relationships/hyperlink" Target="https://rootstofruitsnursery.com/products/black-ice" TargetMode="External"/><Relationship Id="rId45" Type="http://schemas.openxmlformats.org/officeDocument/2006/relationships/hyperlink" Target="http://RootsToFruitsNursery.com" TargetMode="External"/><Relationship Id="rId46" Type="http://schemas.openxmlformats.org/officeDocument/2006/relationships/hyperlink" Target="https://rootstofruitsnursery.com/products/contender-peach" TargetMode="External"/><Relationship Id="rId47" Type="http://schemas.openxmlformats.org/officeDocument/2006/relationships/hyperlink" Target="http://RootsToFruitsNursery.com" TargetMode="External"/><Relationship Id="rId48" Type="http://schemas.openxmlformats.org/officeDocument/2006/relationships/hyperlink" Target="https://rootstofruitsnursery.com/products/intrepid-peach" TargetMode="External"/><Relationship Id="rId49" Type="http://schemas.openxmlformats.org/officeDocument/2006/relationships/hyperlink" Target="http://RootsToFruitsNursery.com" TargetMode="External"/><Relationship Id="rId50" Type="http://schemas.openxmlformats.org/officeDocument/2006/relationships/hyperlink" Target="https://rootstofruitsnursery.com/products/reliance-peach" TargetMode="External"/><Relationship Id="rId51" Type="http://schemas.openxmlformats.org/officeDocument/2006/relationships/hyperlink" Target="http://RootsToFruitsNursery.com" TargetMode="External"/><Relationship Id="rId52" Type="http://schemas.openxmlformats.org/officeDocument/2006/relationships/hyperlink" Target="https://rootstofruitsnursery.com/collections/sweet-cherry-trees/zone_4" TargetMode="External"/><Relationship Id="rId53" Type="http://schemas.openxmlformats.org/officeDocument/2006/relationships/hyperlink" Target="http://RootsToFruitsNursery.com" TargetMode="External"/><Relationship Id="rId54" Type="http://schemas.openxmlformats.org/officeDocument/2006/relationships/hyperlink" Target="https://rootstofruitsnursery.com/products/kristen-cherry" TargetMode="External"/><Relationship Id="rId55" Type="http://schemas.openxmlformats.org/officeDocument/2006/relationships/hyperlink" Target="http://RootsToFruitsNursery.com" TargetMode="External"/><Relationship Id="rId56" Type="http://schemas.openxmlformats.org/officeDocument/2006/relationships/hyperlink" Target="https://rootstofruitsnursery.com/products/copy-of-madison-peach" TargetMode="External"/><Relationship Id="rId57" Type="http://schemas.openxmlformats.org/officeDocument/2006/relationships/hyperlink" Target="http://RootsToFruitsNursery.com" TargetMode="External"/><Relationship Id="rId58" Type="http://schemas.openxmlformats.org/officeDocument/2006/relationships/hyperlink" Target="https://rootstofruitsnursery.com/collections/pie-cherry-trees/products/montmorency-cherry" TargetMode="External"/><Relationship Id="rId59" Type="http://schemas.openxmlformats.org/officeDocument/2006/relationships/hyperlink" Target="http://RootsToFruitsNursery.com" TargetMode="External"/><Relationship Id="rId60" Type="http://schemas.openxmlformats.org/officeDocument/2006/relationships/hyperlink" Target="https://rootstofruitsnursery.com/collections/pie-cherry-trees/products/balaton" TargetMode="External"/><Relationship Id="rId61" Type="http://schemas.openxmlformats.org/officeDocument/2006/relationships/hyperlink" Target="http://TreesOfAntiquity.com" TargetMode="External"/><Relationship Id="rId62" Type="http://schemas.openxmlformats.org/officeDocument/2006/relationships/hyperlink" Target="https://www.treesofantiquity.com/products/stanley-plum" TargetMode="External"/><Relationship Id="rId63" Type="http://schemas.openxmlformats.org/officeDocument/2006/relationships/hyperlink" Target="http://TreesOfAntiquity.com" TargetMode="External"/><Relationship Id="rId64" Type="http://schemas.openxmlformats.org/officeDocument/2006/relationships/hyperlink" Target="https://www.treesofantiquity.com/products/rubinette-apple?_pos=1&amp;_psq=rubinette&amp;_ss=e&amp;_v=1.0" TargetMode="External"/><Relationship Id="rId65" Type="http://schemas.openxmlformats.org/officeDocument/2006/relationships/hyperlink" Target="http://TreesOfAntiquity.com" TargetMode="External"/><Relationship Id="rId66" Type="http://schemas.openxmlformats.org/officeDocument/2006/relationships/hyperlink" Target="https://www.treesofantiquity.com/products/harry-master-jersey-apple" TargetMode="External"/><Relationship Id="rId67" Type="http://schemas.openxmlformats.org/officeDocument/2006/relationships/hyperlink" Target="http://EastHillTreeFarm.com" TargetMode="External"/><Relationship Id="rId68" Type="http://schemas.openxmlformats.org/officeDocument/2006/relationships/hyperlink" Target="https://easthilltreefarm.com/products/yarlington-mill" TargetMode="External"/><Relationship Id="rId69" Type="http://schemas.openxmlformats.org/officeDocument/2006/relationships/hyperlink" Target="http://RaintreeNursery.com" TargetMode="External"/><Relationship Id="rId70" Type="http://schemas.openxmlformats.org/officeDocument/2006/relationships/hyperlink" Target="https://raintreenursery.com/products/foxwhelp-cider-apple-semi-dwarf" TargetMode="External"/><Relationship Id="rId71" Type="http://schemas.openxmlformats.org/officeDocument/2006/relationships/hyperlink" Target="http://RaintreeNursery.com" TargetMode="External"/><Relationship Id="rId72" Type="http://schemas.openxmlformats.org/officeDocument/2006/relationships/hyperlink" Target="https://raintreenursery.com/products/mount-royal-e-plum-semi-dwarf" TargetMode="External"/><Relationship Id="rId73" Type="http://schemas.openxmlformats.org/officeDocument/2006/relationships/hyperlink" Target="http://BlueHillWildlifeNursery.com" TargetMode="External"/><Relationship Id="rId74" Type="http://schemas.openxmlformats.org/officeDocument/2006/relationships/hyperlink" Target="https://bluehillwildlifenursery.com/product/priscilla-apple-tree/" TargetMode="External"/><Relationship Id="rId75" Type="http://schemas.openxmlformats.org/officeDocument/2006/relationships/hyperlink" Target="https://fedcoseeds.com/" TargetMode="External"/><Relationship Id="rId76" Type="http://schemas.openxmlformats.org/officeDocument/2006/relationships/hyperlink" Target="https://rootstofruitsnursery.com/products/zestar" TargetMode="External"/><Relationship Id="rId77" Type="http://schemas.openxmlformats.org/officeDocument/2006/relationships/hyperlink" Target="http://FedcoSeeds.com" TargetMode="External"/><Relationship Id="rId78" Type="http://schemas.openxmlformats.org/officeDocument/2006/relationships/hyperlink" Target="https://fedcoseeds.com/trees/valor-european-plum-7418" TargetMode="External"/><Relationship Id="rId79" Type="http://schemas.openxmlformats.org/officeDocument/2006/relationships/hyperlink" Target="https://www.starkbros.com/" TargetMode="External"/><Relationship Id="rId80" Type="http://schemas.openxmlformats.org/officeDocument/2006/relationships/hyperlink" Target="https://www.starkbros.com/products/fruit-trees/plum-trees/superior-plum" TargetMode="External"/><Relationship Id="rId81" Type="http://schemas.openxmlformats.org/officeDocument/2006/relationships/hyperlink" Target="http://StarkBros.com" TargetMode="External"/><Relationship Id="rId82" Type="http://schemas.openxmlformats.org/officeDocument/2006/relationships/hyperlink" Target="https://www.starkbros.com/products/fruit-trees/peach-trees/blushingstar-peach" TargetMode="External"/><Relationship Id="rId83" Type="http://schemas.openxmlformats.org/officeDocument/2006/relationships/hyperlink" Target="http://StarkBros.com" TargetMode="External"/><Relationship Id="rId84" Type="http://schemas.openxmlformats.org/officeDocument/2006/relationships/hyperlink" Target="https://www.starkbros.com/products/fruit-trees/peach-trees/bounty-peach" TargetMode="External"/><Relationship Id="rId85" Type="http://schemas.openxmlformats.org/officeDocument/2006/relationships/hyperlink" Target="https://www.logees.com/" TargetMode="External"/><Relationship Id="rId86" Type="http://schemas.openxmlformats.org/officeDocument/2006/relationships/hyperlink" Target="https://www.logees.com/products/persimmon-tree-meader?variant=47151157346555" TargetMode="External"/><Relationship Id="rId87" Type="http://schemas.openxmlformats.org/officeDocument/2006/relationships/hyperlink" Target="https://www.logees.com/" TargetMode="External"/><Relationship Id="rId88" Type="http://schemas.openxmlformats.org/officeDocument/2006/relationships/hyperlink" Target="https://www.logees.com/products/american-persimmon-tree-prairie-star?variant=47151167668475" TargetMode="External"/><Relationship Id="rId89" Type="http://schemas.openxmlformats.org/officeDocument/2006/relationships/hyperlink" Target="https://madisoncitrusnursery.com/" TargetMode="External"/><Relationship Id="rId90" Type="http://schemas.openxmlformats.org/officeDocument/2006/relationships/hyperlink" Target="https://madisoncitrusnursery.com/products/prarie-dawn-persimmon-tree-for-sale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2:AB89"/>
  <sheetViews>
    <sheetView workbookViewId="0" showGridLines="0" defaultGridColor="1">
      <pane topLeftCell="D3" xSplit="3" ySplit="2" activePane="bottomRight" state="frozen"/>
    </sheetView>
  </sheetViews>
  <sheetFormatPr defaultColWidth="16.3333" defaultRowHeight="19.9" customHeight="1" outlineLevelRow="0" outlineLevelCol="0"/>
  <cols>
    <col min="1" max="1" width="8.35156" style="1" customWidth="1"/>
    <col min="2" max="28" width="16.3516" style="1" customWidth="1"/>
    <col min="29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31.15" customHeight="1">
      <c r="A2" s="3"/>
      <c r="B2" t="s" s="4">
        <v>1</v>
      </c>
      <c r="C2" t="s" s="4">
        <v>2</v>
      </c>
      <c r="D2" t="s" s="4">
        <v>3</v>
      </c>
      <c r="E2" t="s" s="4">
        <v>4</v>
      </c>
      <c r="F2" t="s" s="4">
        <v>5</v>
      </c>
      <c r="G2" t="s" s="4">
        <v>6</v>
      </c>
      <c r="H2" t="s" s="4">
        <v>7</v>
      </c>
      <c r="I2" t="s" s="4">
        <v>8</v>
      </c>
      <c r="J2" t="s" s="4">
        <v>9</v>
      </c>
      <c r="K2" t="s" s="5">
        <v>10</v>
      </c>
      <c r="L2" t="s" s="5">
        <v>11</v>
      </c>
      <c r="M2" t="s" s="4">
        <v>12</v>
      </c>
      <c r="N2" t="s" s="4">
        <v>13</v>
      </c>
      <c r="O2" t="s" s="4">
        <v>14</v>
      </c>
      <c r="P2" t="s" s="4">
        <v>15</v>
      </c>
      <c r="Q2" t="s" s="4">
        <v>16</v>
      </c>
      <c r="R2" t="s" s="4">
        <v>17</v>
      </c>
      <c r="S2" t="s" s="4">
        <v>18</v>
      </c>
      <c r="T2" t="s" s="4">
        <v>19</v>
      </c>
      <c r="U2" t="s" s="4">
        <v>20</v>
      </c>
      <c r="V2" t="s" s="4">
        <v>21</v>
      </c>
      <c r="W2" t="s" s="4">
        <v>22</v>
      </c>
      <c r="X2" t="s" s="4">
        <v>23</v>
      </c>
      <c r="Y2" t="s" s="4">
        <v>24</v>
      </c>
      <c r="Z2" t="s" s="4">
        <v>25</v>
      </c>
      <c r="AA2" t="s" s="4">
        <v>26</v>
      </c>
      <c r="AB2" t="s" s="4">
        <v>27</v>
      </c>
    </row>
    <row r="3" ht="21.7" customHeight="1">
      <c r="A3" t="s" s="6">
        <v>28</v>
      </c>
      <c r="B3" s="7"/>
      <c r="C3" s="7"/>
      <c r="D3" s="8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ht="21.7" customHeight="1">
      <c r="A4" t="s" s="9">
        <v>29</v>
      </c>
      <c r="B4" s="10"/>
      <c r="C4" s="10"/>
      <c r="D4" s="11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 ht="21.05" customHeight="1">
      <c r="A5" t="s" s="12">
        <v>30</v>
      </c>
      <c r="B5" s="13"/>
      <c r="C5" s="13"/>
      <c r="D5" s="14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 ht="86.55" customHeight="1">
      <c r="A6" s="15"/>
      <c r="B6" t="s" s="16">
        <v>31</v>
      </c>
      <c r="C6" t="s" s="17">
        <v>32</v>
      </c>
      <c r="D6" s="18">
        <v>5</v>
      </c>
      <c r="E6" t="s" s="19">
        <v>33</v>
      </c>
      <c r="F6" t="s" s="16">
        <v>29</v>
      </c>
      <c r="G6" s="20"/>
      <c r="H6" t="s" s="16">
        <v>28</v>
      </c>
      <c r="I6" t="s" s="16">
        <v>30</v>
      </c>
      <c r="J6" t="s" s="16">
        <v>34</v>
      </c>
      <c r="K6" s="21">
        <v>51</v>
      </c>
      <c r="L6" s="21" cm="1">
        <f t="array" ref="L6">K6*D6</f>
        <v>255</v>
      </c>
      <c r="M6" t="s" s="16">
        <v>35</v>
      </c>
      <c r="N6" t="s" s="16">
        <v>35</v>
      </c>
      <c r="O6" t="s" s="16">
        <v>36</v>
      </c>
      <c r="P6" t="s" s="16">
        <v>37</v>
      </c>
      <c r="Q6" t="s" s="22">
        <v>38</v>
      </c>
      <c r="R6" t="s" s="16">
        <v>39</v>
      </c>
      <c r="S6" t="s" s="16">
        <v>40</v>
      </c>
      <c r="T6" t="s" s="16">
        <v>41</v>
      </c>
      <c r="U6" t="s" s="16">
        <v>41</v>
      </c>
      <c r="V6" t="s" s="16">
        <v>37</v>
      </c>
      <c r="W6" t="s" s="16">
        <v>42</v>
      </c>
      <c r="X6" t="s" s="16">
        <v>43</v>
      </c>
      <c r="Y6" t="s" s="16">
        <v>37</v>
      </c>
      <c r="Z6" t="s" s="16">
        <v>37</v>
      </c>
      <c r="AA6" t="s" s="16">
        <v>37</v>
      </c>
      <c r="AB6" t="s" s="16">
        <v>44</v>
      </c>
    </row>
    <row r="7" ht="86.35" customHeight="1">
      <c r="A7" s="23"/>
      <c r="B7" t="s" s="24">
        <v>31</v>
      </c>
      <c r="C7" t="s" s="25">
        <v>45</v>
      </c>
      <c r="D7" s="26">
        <v>2</v>
      </c>
      <c r="E7" t="s" s="27">
        <v>46</v>
      </c>
      <c r="F7" t="s" s="24">
        <v>29</v>
      </c>
      <c r="G7" s="28"/>
      <c r="H7" t="s" s="24">
        <v>28</v>
      </c>
      <c r="I7" t="s" s="24">
        <v>30</v>
      </c>
      <c r="J7" t="s" s="24">
        <v>47</v>
      </c>
      <c r="K7" s="29">
        <v>51</v>
      </c>
      <c r="L7" s="29" cm="1">
        <f t="array" ref="L7">K7*D7</f>
        <v>102</v>
      </c>
      <c r="M7" t="s" s="24">
        <v>48</v>
      </c>
      <c r="N7" t="s" s="24">
        <v>49</v>
      </c>
      <c r="O7" t="s" s="24">
        <v>50</v>
      </c>
      <c r="P7" t="s" s="24">
        <v>51</v>
      </c>
      <c r="Q7" t="s" s="30">
        <v>38</v>
      </c>
      <c r="R7" t="s" s="24">
        <v>52</v>
      </c>
      <c r="S7" t="s" s="24">
        <v>53</v>
      </c>
      <c r="T7" t="s" s="24">
        <v>54</v>
      </c>
      <c r="U7" t="s" s="24">
        <v>55</v>
      </c>
      <c r="V7" t="s" s="24">
        <v>37</v>
      </c>
      <c r="W7" t="s" s="24">
        <v>54</v>
      </c>
      <c r="X7" t="s" s="24">
        <v>56</v>
      </c>
      <c r="Y7" t="s" s="24">
        <v>37</v>
      </c>
      <c r="Z7" t="s" s="24">
        <v>37</v>
      </c>
      <c r="AA7" t="s" s="24">
        <v>37</v>
      </c>
      <c r="AB7" t="s" s="24">
        <v>57</v>
      </c>
    </row>
    <row r="8" ht="86.35" customHeight="1">
      <c r="A8" s="23"/>
      <c r="B8" t="s" s="24">
        <v>31</v>
      </c>
      <c r="C8" t="s" s="25">
        <v>58</v>
      </c>
      <c r="D8" s="26">
        <v>2</v>
      </c>
      <c r="E8" t="s" s="27">
        <v>59</v>
      </c>
      <c r="F8" t="s" s="24">
        <v>29</v>
      </c>
      <c r="G8" t="s" s="24">
        <v>60</v>
      </c>
      <c r="H8" t="s" s="24">
        <v>28</v>
      </c>
      <c r="I8" t="s" s="24">
        <v>30</v>
      </c>
      <c r="J8" t="s" s="24">
        <v>61</v>
      </c>
      <c r="K8" s="29">
        <v>51</v>
      </c>
      <c r="L8" s="29" cm="1">
        <f t="array" ref="L8">K8*D8</f>
        <v>102</v>
      </c>
      <c r="M8" t="s" s="24">
        <v>62</v>
      </c>
      <c r="N8" t="s" s="24">
        <v>63</v>
      </c>
      <c r="O8" t="s" s="24">
        <v>64</v>
      </c>
      <c r="P8" t="s" s="24">
        <v>65</v>
      </c>
      <c r="Q8" s="31">
        <v>-30</v>
      </c>
      <c r="R8" t="s" s="24">
        <v>66</v>
      </c>
      <c r="S8" t="s" s="24">
        <v>67</v>
      </c>
      <c r="T8" t="s" s="24">
        <v>68</v>
      </c>
      <c r="U8" t="s" s="24">
        <v>69</v>
      </c>
      <c r="V8" t="s" s="24">
        <v>70</v>
      </c>
      <c r="W8" t="s" s="24">
        <v>42</v>
      </c>
      <c r="X8" t="s" s="24">
        <v>71</v>
      </c>
      <c r="Y8" t="s" s="24">
        <v>72</v>
      </c>
      <c r="Z8" t="s" s="24">
        <v>73</v>
      </c>
      <c r="AA8" t="s" s="24">
        <v>74</v>
      </c>
      <c r="AB8" t="s" s="24">
        <v>75</v>
      </c>
    </row>
    <row r="9" ht="86.35" customHeight="1">
      <c r="A9" s="23"/>
      <c r="B9" t="s" s="24">
        <v>31</v>
      </c>
      <c r="C9" t="s" s="25">
        <v>76</v>
      </c>
      <c r="D9" s="26">
        <v>2</v>
      </c>
      <c r="E9" t="s" s="27">
        <v>77</v>
      </c>
      <c r="F9" t="s" s="24">
        <v>29</v>
      </c>
      <c r="G9" s="28"/>
      <c r="H9" t="s" s="24">
        <v>28</v>
      </c>
      <c r="I9" t="s" s="24">
        <v>30</v>
      </c>
      <c r="J9" t="s" s="24">
        <v>78</v>
      </c>
      <c r="K9" s="29">
        <v>51</v>
      </c>
      <c r="L9" s="29" cm="1">
        <f t="array" ref="L9">K9*D9</f>
        <v>102</v>
      </c>
      <c r="M9" t="s" s="24">
        <v>48</v>
      </c>
      <c r="N9" t="s" s="24">
        <v>79</v>
      </c>
      <c r="O9" t="s" s="24">
        <v>36</v>
      </c>
      <c r="P9" t="s" s="24">
        <v>80</v>
      </c>
      <c r="Q9" t="s" s="30">
        <v>38</v>
      </c>
      <c r="R9" t="s" s="24">
        <v>81</v>
      </c>
      <c r="S9" t="s" s="24">
        <v>82</v>
      </c>
      <c r="T9" t="s" s="24">
        <v>54</v>
      </c>
      <c r="U9" t="s" s="24">
        <v>55</v>
      </c>
      <c r="V9" t="s" s="24">
        <v>37</v>
      </c>
      <c r="W9" t="s" s="24">
        <v>54</v>
      </c>
      <c r="X9" t="s" s="24">
        <v>83</v>
      </c>
      <c r="Y9" t="s" s="24">
        <v>37</v>
      </c>
      <c r="Z9" t="s" s="24">
        <v>37</v>
      </c>
      <c r="AA9" t="s" s="24">
        <v>37</v>
      </c>
      <c r="AB9" t="s" s="24">
        <v>84</v>
      </c>
    </row>
    <row r="10" ht="86.35" customHeight="1">
      <c r="A10" s="23"/>
      <c r="B10" t="s" s="24">
        <v>31</v>
      </c>
      <c r="C10" t="s" s="32">
        <v>85</v>
      </c>
      <c r="D10" s="26">
        <v>2</v>
      </c>
      <c r="E10" t="s" s="27">
        <v>86</v>
      </c>
      <c r="F10" t="s" s="24">
        <v>29</v>
      </c>
      <c r="G10" t="s" s="24">
        <v>87</v>
      </c>
      <c r="H10" t="s" s="24">
        <v>28</v>
      </c>
      <c r="I10" t="s" s="24">
        <v>30</v>
      </c>
      <c r="J10" t="s" s="24">
        <v>88</v>
      </c>
      <c r="K10" s="29">
        <v>41</v>
      </c>
      <c r="L10" s="29" cm="1">
        <f t="array" ref="L10">K10*D10</f>
        <v>82</v>
      </c>
      <c r="M10" t="s" s="24">
        <v>35</v>
      </c>
      <c r="N10" t="s" s="24">
        <v>89</v>
      </c>
      <c r="O10" t="s" s="24">
        <v>37</v>
      </c>
      <c r="P10" t="s" s="24">
        <v>90</v>
      </c>
      <c r="Q10" s="31">
        <v>-30</v>
      </c>
      <c r="R10" t="s" s="24">
        <v>91</v>
      </c>
      <c r="S10" t="s" s="24">
        <v>92</v>
      </c>
      <c r="T10" t="s" s="24">
        <v>54</v>
      </c>
      <c r="U10" t="s" s="24">
        <v>55</v>
      </c>
      <c r="V10" t="s" s="24">
        <v>37</v>
      </c>
      <c r="W10" t="s" s="24">
        <v>41</v>
      </c>
      <c r="X10" t="s" s="24">
        <v>93</v>
      </c>
      <c r="Y10" t="s" s="24">
        <v>37</v>
      </c>
      <c r="Z10" t="s" s="24">
        <v>37</v>
      </c>
      <c r="AA10" t="s" s="24">
        <v>37</v>
      </c>
      <c r="AB10" t="s" s="24">
        <v>94</v>
      </c>
    </row>
    <row r="11" ht="86.35" customHeight="1">
      <c r="A11" s="23"/>
      <c r="B11" t="s" s="24">
        <v>31</v>
      </c>
      <c r="C11" t="s" s="25">
        <v>95</v>
      </c>
      <c r="D11" s="26">
        <v>2</v>
      </c>
      <c r="E11" t="s" s="27">
        <v>96</v>
      </c>
      <c r="F11" t="s" s="24">
        <v>29</v>
      </c>
      <c r="G11" s="28"/>
      <c r="H11" t="s" s="24">
        <v>28</v>
      </c>
      <c r="I11" t="s" s="24">
        <v>30</v>
      </c>
      <c r="J11" t="s" s="24">
        <v>97</v>
      </c>
      <c r="K11" s="29">
        <v>51</v>
      </c>
      <c r="L11" s="29" cm="1">
        <f t="array" ref="L11">K11*D11</f>
        <v>102</v>
      </c>
      <c r="M11" t="s" s="24">
        <v>35</v>
      </c>
      <c r="N11" t="s" s="24">
        <v>49</v>
      </c>
      <c r="O11" t="s" s="24">
        <v>98</v>
      </c>
      <c r="P11" t="s" s="24">
        <v>99</v>
      </c>
      <c r="Q11" t="s" s="30">
        <v>38</v>
      </c>
      <c r="R11" t="s" s="24">
        <v>91</v>
      </c>
      <c r="S11" t="s" s="24">
        <v>100</v>
      </c>
      <c r="T11" t="s" s="24">
        <v>42</v>
      </c>
      <c r="U11" t="s" s="24">
        <v>42</v>
      </c>
      <c r="V11" t="s" s="24">
        <v>37</v>
      </c>
      <c r="W11" t="s" s="24">
        <v>42</v>
      </c>
      <c r="X11" t="s" s="24">
        <v>101</v>
      </c>
      <c r="Y11" t="s" s="24">
        <v>37</v>
      </c>
      <c r="Z11" t="s" s="24">
        <v>37</v>
      </c>
      <c r="AA11" t="s" s="24">
        <v>37</v>
      </c>
      <c r="AB11" t="s" s="24">
        <v>102</v>
      </c>
    </row>
    <row r="12" ht="86.35" customHeight="1">
      <c r="A12" s="23"/>
      <c r="B12" t="s" s="24">
        <v>31</v>
      </c>
      <c r="C12" t="s" s="25">
        <v>103</v>
      </c>
      <c r="D12" s="26">
        <v>2</v>
      </c>
      <c r="E12" t="s" s="27">
        <v>104</v>
      </c>
      <c r="F12" t="s" s="24">
        <v>29</v>
      </c>
      <c r="G12" s="28"/>
      <c r="H12" t="s" s="24">
        <v>28</v>
      </c>
      <c r="I12" t="s" s="24">
        <v>30</v>
      </c>
      <c r="J12" t="s" s="24">
        <v>105</v>
      </c>
      <c r="K12" s="29">
        <v>51</v>
      </c>
      <c r="L12" s="29" cm="1">
        <f t="array" ref="L12">K12*D12</f>
        <v>102</v>
      </c>
      <c r="M12" t="s" s="24">
        <v>35</v>
      </c>
      <c r="N12" t="s" s="24">
        <v>35</v>
      </c>
      <c r="O12" t="s" s="24">
        <v>106</v>
      </c>
      <c r="P12" t="s" s="24">
        <v>99</v>
      </c>
      <c r="Q12" t="s" s="30">
        <v>38</v>
      </c>
      <c r="R12" t="s" s="24">
        <v>81</v>
      </c>
      <c r="S12" t="s" s="24">
        <v>107</v>
      </c>
      <c r="T12" t="s" s="24">
        <v>42</v>
      </c>
      <c r="U12" t="s" s="24">
        <v>42</v>
      </c>
      <c r="V12" t="s" s="24">
        <v>37</v>
      </c>
      <c r="W12" t="s" s="24">
        <v>42</v>
      </c>
      <c r="X12" t="s" s="24">
        <v>108</v>
      </c>
      <c r="Y12" t="s" s="24">
        <v>37</v>
      </c>
      <c r="Z12" t="s" s="24">
        <v>37</v>
      </c>
      <c r="AA12" t="s" s="24">
        <v>37</v>
      </c>
      <c r="AB12" t="s" s="24">
        <v>109</v>
      </c>
    </row>
    <row r="13" ht="87.15" customHeight="1">
      <c r="A13" s="33"/>
      <c r="B13" t="s" s="34">
        <v>31</v>
      </c>
      <c r="C13" t="s" s="35">
        <v>110</v>
      </c>
      <c r="D13" s="36">
        <v>5</v>
      </c>
      <c r="E13" t="s" s="37">
        <v>111</v>
      </c>
      <c r="F13" t="s" s="34">
        <v>29</v>
      </c>
      <c r="G13" s="38"/>
      <c r="H13" t="s" s="34">
        <v>28</v>
      </c>
      <c r="I13" t="s" s="34">
        <v>30</v>
      </c>
      <c r="J13" t="s" s="34">
        <v>112</v>
      </c>
      <c r="K13" s="39">
        <v>80</v>
      </c>
      <c r="L13" s="39" cm="1">
        <f t="array" ref="L13">K13*D13</f>
        <v>400</v>
      </c>
      <c r="M13" t="s" s="34">
        <v>48</v>
      </c>
      <c r="N13" t="s" s="34">
        <v>79</v>
      </c>
      <c r="O13" t="s" s="34">
        <v>113</v>
      </c>
      <c r="P13" t="s" s="34">
        <v>114</v>
      </c>
      <c r="Q13" t="s" s="40">
        <v>115</v>
      </c>
      <c r="R13" t="s" s="34">
        <v>52</v>
      </c>
      <c r="S13" t="s" s="34">
        <v>116</v>
      </c>
      <c r="T13" t="s" s="34">
        <v>117</v>
      </c>
      <c r="U13" t="s" s="34">
        <v>55</v>
      </c>
      <c r="V13" t="s" s="34">
        <v>37</v>
      </c>
      <c r="W13" t="s" s="34">
        <v>54</v>
      </c>
      <c r="X13" t="s" s="34">
        <v>118</v>
      </c>
      <c r="Y13" t="s" s="34">
        <v>37</v>
      </c>
      <c r="Z13" t="s" s="34">
        <v>37</v>
      </c>
      <c r="AA13" t="s" s="34">
        <v>37</v>
      </c>
      <c r="AB13" t="s" s="34">
        <v>119</v>
      </c>
    </row>
    <row r="14" ht="21.7" customHeight="1">
      <c r="A14" t="s" s="9">
        <v>120</v>
      </c>
      <c r="B14" s="10"/>
      <c r="C14" s="10"/>
      <c r="D14" s="11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</row>
    <row r="15" ht="21.05" customHeight="1">
      <c r="A15" t="s" s="12">
        <v>30</v>
      </c>
      <c r="B15" s="13"/>
      <c r="C15" s="13"/>
      <c r="D15" s="14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</row>
    <row r="16" ht="58.55" customHeight="1">
      <c r="A16" s="15"/>
      <c r="B16" t="s" s="16">
        <v>31</v>
      </c>
      <c r="C16" t="s" s="17">
        <v>121</v>
      </c>
      <c r="D16" s="18">
        <v>2</v>
      </c>
      <c r="E16" t="s" s="19">
        <v>122</v>
      </c>
      <c r="F16" t="s" s="16">
        <v>120</v>
      </c>
      <c r="G16" s="20"/>
      <c r="H16" t="s" s="16">
        <v>28</v>
      </c>
      <c r="I16" t="s" s="16">
        <v>30</v>
      </c>
      <c r="J16" t="s" s="16">
        <v>123</v>
      </c>
      <c r="K16" s="21">
        <v>51</v>
      </c>
      <c r="L16" s="21" cm="1">
        <f t="array" ref="L16">K16*D16</f>
        <v>102</v>
      </c>
      <c r="M16" t="s" s="16">
        <v>124</v>
      </c>
      <c r="N16" t="s" s="16">
        <v>125</v>
      </c>
      <c r="O16" t="s" s="16">
        <v>126</v>
      </c>
      <c r="P16" t="s" s="16">
        <v>127</v>
      </c>
      <c r="Q16" t="s" s="22">
        <v>128</v>
      </c>
      <c r="R16" t="s" s="16">
        <v>129</v>
      </c>
      <c r="S16" t="s" s="16">
        <v>130</v>
      </c>
      <c r="T16" t="s" s="16">
        <v>37</v>
      </c>
      <c r="U16" t="s" s="16">
        <v>37</v>
      </c>
      <c r="V16" t="s" s="16">
        <v>131</v>
      </c>
      <c r="W16" t="s" s="16">
        <v>37</v>
      </c>
      <c r="X16" t="s" s="16">
        <v>37</v>
      </c>
      <c r="Y16" t="s" s="16">
        <v>132</v>
      </c>
      <c r="Z16" t="s" s="16">
        <v>73</v>
      </c>
      <c r="AA16" t="s" s="16">
        <v>37</v>
      </c>
      <c r="AB16" t="s" s="16">
        <v>133</v>
      </c>
    </row>
    <row r="17" ht="58.35" customHeight="1">
      <c r="A17" s="23"/>
      <c r="B17" t="s" s="24">
        <v>31</v>
      </c>
      <c r="C17" t="s" s="32">
        <v>134</v>
      </c>
      <c r="D17" s="26">
        <v>3</v>
      </c>
      <c r="E17" t="s" s="27">
        <v>135</v>
      </c>
      <c r="F17" t="s" s="24">
        <v>120</v>
      </c>
      <c r="G17" t="s" s="24">
        <v>60</v>
      </c>
      <c r="H17" t="s" s="24">
        <v>28</v>
      </c>
      <c r="I17" t="s" s="24">
        <v>30</v>
      </c>
      <c r="J17" t="s" s="24">
        <v>136</v>
      </c>
      <c r="K17" s="29">
        <v>51</v>
      </c>
      <c r="L17" s="29" cm="1">
        <f t="array" ref="L17">K17*D17</f>
        <v>153</v>
      </c>
      <c r="M17" t="s" s="24">
        <v>137</v>
      </c>
      <c r="N17" t="s" s="24">
        <v>138</v>
      </c>
      <c r="O17" t="s" s="24">
        <v>139</v>
      </c>
      <c r="P17" t="s" s="24">
        <v>127</v>
      </c>
      <c r="Q17" t="s" s="30">
        <v>128</v>
      </c>
      <c r="R17" t="s" s="24">
        <v>140</v>
      </c>
      <c r="S17" t="s" s="24">
        <v>141</v>
      </c>
      <c r="T17" t="s" s="24">
        <v>37</v>
      </c>
      <c r="U17" t="s" s="24">
        <v>37</v>
      </c>
      <c r="V17" t="s" s="24">
        <v>142</v>
      </c>
      <c r="W17" t="s" s="24">
        <v>37</v>
      </c>
      <c r="X17" t="s" s="24">
        <v>37</v>
      </c>
      <c r="Y17" s="29">
        <v>4</v>
      </c>
      <c r="Z17" t="s" s="24">
        <v>73</v>
      </c>
      <c r="AA17" t="s" s="24">
        <v>37</v>
      </c>
      <c r="AB17" t="s" s="24">
        <v>143</v>
      </c>
    </row>
    <row r="18" ht="86.35" customHeight="1">
      <c r="A18" s="23"/>
      <c r="B18" t="s" s="24">
        <v>31</v>
      </c>
      <c r="C18" t="s" s="32">
        <v>144</v>
      </c>
      <c r="D18" s="26">
        <v>3</v>
      </c>
      <c r="E18" t="s" s="27">
        <v>145</v>
      </c>
      <c r="F18" t="s" s="24">
        <v>120</v>
      </c>
      <c r="G18" s="28"/>
      <c r="H18" t="s" s="24">
        <v>28</v>
      </c>
      <c r="I18" t="s" s="24">
        <v>30</v>
      </c>
      <c r="J18" t="s" s="24">
        <v>146</v>
      </c>
      <c r="K18" s="29">
        <v>51</v>
      </c>
      <c r="L18" s="29" cm="1">
        <f t="array" ref="L18">K18*D18</f>
        <v>153</v>
      </c>
      <c r="M18" t="s" s="24">
        <v>48</v>
      </c>
      <c r="N18" t="s" s="24">
        <v>147</v>
      </c>
      <c r="O18" t="s" s="24">
        <v>148</v>
      </c>
      <c r="P18" t="s" s="24">
        <v>127</v>
      </c>
      <c r="Q18" t="s" s="30">
        <v>128</v>
      </c>
      <c r="R18" t="s" s="24">
        <v>149</v>
      </c>
      <c r="S18" t="s" s="24">
        <v>150</v>
      </c>
      <c r="T18" t="s" s="24">
        <v>37</v>
      </c>
      <c r="U18" t="s" s="24">
        <v>37</v>
      </c>
      <c r="V18" t="s" s="24">
        <v>151</v>
      </c>
      <c r="W18" t="s" s="24">
        <v>37</v>
      </c>
      <c r="X18" t="s" s="24">
        <v>37</v>
      </c>
      <c r="Y18" s="29">
        <v>4</v>
      </c>
      <c r="Z18" t="s" s="24">
        <v>73</v>
      </c>
      <c r="AA18" t="s" s="24">
        <v>152</v>
      </c>
      <c r="AB18" t="s" s="24">
        <v>153</v>
      </c>
    </row>
    <row r="19" ht="58.35" customHeight="1">
      <c r="A19" s="23"/>
      <c r="B19" t="s" s="24">
        <v>31</v>
      </c>
      <c r="C19" t="s" s="25">
        <v>154</v>
      </c>
      <c r="D19" s="26">
        <v>3</v>
      </c>
      <c r="E19" t="s" s="27">
        <v>155</v>
      </c>
      <c r="F19" t="s" s="24">
        <v>120</v>
      </c>
      <c r="G19" s="28"/>
      <c r="H19" t="s" s="24">
        <v>28</v>
      </c>
      <c r="I19" t="s" s="24">
        <v>30</v>
      </c>
      <c r="J19" t="s" s="24">
        <v>156</v>
      </c>
      <c r="K19" s="29">
        <v>51</v>
      </c>
      <c r="L19" s="29" cm="1">
        <f t="array" ref="L19">K19*D19</f>
        <v>153</v>
      </c>
      <c r="M19" t="s" s="24">
        <v>48</v>
      </c>
      <c r="N19" t="s" s="24">
        <v>147</v>
      </c>
      <c r="O19" t="s" s="24">
        <v>148</v>
      </c>
      <c r="P19" t="s" s="24">
        <v>127</v>
      </c>
      <c r="Q19" t="s" s="30">
        <v>128</v>
      </c>
      <c r="R19" t="s" s="24">
        <v>157</v>
      </c>
      <c r="S19" t="s" s="24">
        <v>158</v>
      </c>
      <c r="T19" t="s" s="24">
        <v>37</v>
      </c>
      <c r="U19" t="s" s="24">
        <v>159</v>
      </c>
      <c r="V19" t="s" s="24">
        <v>160</v>
      </c>
      <c r="W19" t="s" s="24">
        <v>37</v>
      </c>
      <c r="X19" t="s" s="24">
        <v>37</v>
      </c>
      <c r="Y19" t="s" s="24">
        <v>132</v>
      </c>
      <c r="Z19" t="s" s="24">
        <v>73</v>
      </c>
      <c r="AA19" t="s" s="24">
        <v>37</v>
      </c>
      <c r="AB19" t="s" s="24">
        <v>161</v>
      </c>
    </row>
    <row r="20" ht="59.15" customHeight="1">
      <c r="A20" s="33"/>
      <c r="B20" t="s" s="34">
        <v>31</v>
      </c>
      <c r="C20" t="s" s="35">
        <v>162</v>
      </c>
      <c r="D20" s="36">
        <v>2</v>
      </c>
      <c r="E20" t="s" s="37">
        <v>163</v>
      </c>
      <c r="F20" t="s" s="34">
        <v>120</v>
      </c>
      <c r="G20" s="38"/>
      <c r="H20" t="s" s="34">
        <v>28</v>
      </c>
      <c r="I20" t="s" s="34">
        <v>30</v>
      </c>
      <c r="J20" t="s" s="34">
        <v>164</v>
      </c>
      <c r="K20" s="39">
        <v>51</v>
      </c>
      <c r="L20" s="39" cm="1">
        <f t="array" ref="L20">K20*D20</f>
        <v>102</v>
      </c>
      <c r="M20" t="s" s="34">
        <v>48</v>
      </c>
      <c r="N20" t="s" s="34">
        <v>147</v>
      </c>
      <c r="O20" t="s" s="34">
        <v>165</v>
      </c>
      <c r="P20" t="s" s="34">
        <v>127</v>
      </c>
      <c r="Q20" t="s" s="40">
        <v>128</v>
      </c>
      <c r="R20" t="s" s="34">
        <v>166</v>
      </c>
      <c r="S20" t="s" s="34">
        <v>167</v>
      </c>
      <c r="T20" t="s" s="34">
        <v>37</v>
      </c>
      <c r="U20" t="s" s="34">
        <v>37</v>
      </c>
      <c r="V20" t="s" s="34">
        <v>168</v>
      </c>
      <c r="W20" t="s" s="34">
        <v>37</v>
      </c>
      <c r="X20" t="s" s="34">
        <v>37</v>
      </c>
      <c r="Y20" t="s" s="34">
        <v>132</v>
      </c>
      <c r="Z20" t="s" s="34">
        <v>73</v>
      </c>
      <c r="AA20" t="s" s="34">
        <v>169</v>
      </c>
      <c r="AB20" t="s" s="34">
        <v>170</v>
      </c>
    </row>
    <row r="21" ht="21.05" customHeight="1">
      <c r="A21" t="s" s="12">
        <v>171</v>
      </c>
      <c r="B21" s="13"/>
      <c r="C21" s="13"/>
      <c r="D21" s="14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</row>
    <row r="22" ht="58.55" customHeight="1">
      <c r="A22" s="15"/>
      <c r="B22" t="s" s="16">
        <v>31</v>
      </c>
      <c r="C22" t="s" s="17">
        <v>172</v>
      </c>
      <c r="D22" s="18">
        <v>2</v>
      </c>
      <c r="E22" t="s" s="19">
        <v>173</v>
      </c>
      <c r="F22" t="s" s="16">
        <v>120</v>
      </c>
      <c r="G22" s="20"/>
      <c r="H22" t="s" s="16">
        <v>28</v>
      </c>
      <c r="I22" t="s" s="16">
        <v>171</v>
      </c>
      <c r="J22" t="s" s="16">
        <v>174</v>
      </c>
      <c r="K22" s="21">
        <v>51</v>
      </c>
      <c r="L22" s="21" cm="1">
        <f t="array" ref="L22">K22*D22</f>
        <v>102</v>
      </c>
      <c r="M22" t="s" s="16">
        <v>35</v>
      </c>
      <c r="N22" t="s" s="16">
        <v>175</v>
      </c>
      <c r="O22" t="s" s="16">
        <v>113</v>
      </c>
      <c r="P22" t="s" s="16">
        <v>176</v>
      </c>
      <c r="Q22" t="s" s="22">
        <v>177</v>
      </c>
      <c r="R22" t="s" s="16">
        <v>37</v>
      </c>
      <c r="S22" t="s" s="16">
        <v>178</v>
      </c>
      <c r="T22" t="s" s="16">
        <v>37</v>
      </c>
      <c r="U22" t="s" s="16">
        <v>37</v>
      </c>
      <c r="V22" t="s" s="16">
        <v>37</v>
      </c>
      <c r="W22" t="s" s="16">
        <v>37</v>
      </c>
      <c r="X22" t="s" s="16">
        <v>37</v>
      </c>
      <c r="Y22" t="s" s="16">
        <v>179</v>
      </c>
      <c r="Z22" t="s" s="16">
        <v>180</v>
      </c>
      <c r="AA22" t="s" s="16">
        <v>37</v>
      </c>
      <c r="AB22" t="s" s="16">
        <v>181</v>
      </c>
    </row>
    <row r="23" ht="58.35" customHeight="1">
      <c r="A23" s="23"/>
      <c r="B23" t="s" s="24">
        <v>31</v>
      </c>
      <c r="C23" t="s" s="25">
        <v>182</v>
      </c>
      <c r="D23" s="26">
        <v>2</v>
      </c>
      <c r="E23" t="s" s="27">
        <v>183</v>
      </c>
      <c r="F23" t="s" s="24">
        <v>120</v>
      </c>
      <c r="G23" s="28"/>
      <c r="H23" t="s" s="24">
        <v>28</v>
      </c>
      <c r="I23" t="s" s="24">
        <v>171</v>
      </c>
      <c r="J23" t="s" s="24">
        <v>184</v>
      </c>
      <c r="K23" s="29">
        <v>39</v>
      </c>
      <c r="L23" s="29" cm="1">
        <f t="array" ref="L23">K23*D23</f>
        <v>78</v>
      </c>
      <c r="M23" t="s" s="24">
        <v>35</v>
      </c>
      <c r="N23" t="s" s="24">
        <v>185</v>
      </c>
      <c r="O23" t="s" s="24">
        <v>186</v>
      </c>
      <c r="P23" t="s" s="24">
        <v>187</v>
      </c>
      <c r="Q23" t="s" s="30">
        <v>177</v>
      </c>
      <c r="R23" t="s" s="24">
        <v>37</v>
      </c>
      <c r="S23" t="s" s="24">
        <v>188</v>
      </c>
      <c r="T23" t="s" s="24">
        <v>37</v>
      </c>
      <c r="U23" t="s" s="24">
        <v>37</v>
      </c>
      <c r="V23" t="s" s="24">
        <v>37</v>
      </c>
      <c r="W23" t="s" s="24">
        <v>37</v>
      </c>
      <c r="X23" t="s" s="24">
        <v>37</v>
      </c>
      <c r="Y23" t="s" s="24">
        <v>179</v>
      </c>
      <c r="Z23" t="s" s="24">
        <v>180</v>
      </c>
      <c r="AA23" t="s" s="24">
        <v>37</v>
      </c>
      <c r="AB23" t="s" s="24">
        <v>189</v>
      </c>
    </row>
    <row r="24" ht="132.05" customHeight="1">
      <c r="A24" s="23"/>
      <c r="B24" t="s" s="24">
        <v>31</v>
      </c>
      <c r="C24" t="s" s="25">
        <v>190</v>
      </c>
      <c r="D24" s="26">
        <v>2</v>
      </c>
      <c r="E24" t="s" s="27">
        <v>191</v>
      </c>
      <c r="F24" t="s" s="24">
        <v>120</v>
      </c>
      <c r="G24" s="28"/>
      <c r="H24" t="s" s="24">
        <v>28</v>
      </c>
      <c r="I24" t="s" s="24">
        <v>171</v>
      </c>
      <c r="J24" t="s" s="24">
        <v>192</v>
      </c>
      <c r="K24" s="29">
        <v>55</v>
      </c>
      <c r="L24" s="29" cm="1">
        <f t="array" ref="L24">K24*D24</f>
        <v>110</v>
      </c>
      <c r="M24" t="s" s="24">
        <v>193</v>
      </c>
      <c r="N24" t="s" s="24">
        <v>175</v>
      </c>
      <c r="O24" t="s" s="24">
        <v>194</v>
      </c>
      <c r="P24" t="s" s="24">
        <v>195</v>
      </c>
      <c r="Q24" t="s" s="24">
        <v>196</v>
      </c>
      <c r="R24" t="s" s="24">
        <v>197</v>
      </c>
      <c r="S24" t="s" s="24">
        <v>198</v>
      </c>
      <c r="T24" t="s" s="24">
        <v>199</v>
      </c>
      <c r="U24" t="s" s="24">
        <v>37</v>
      </c>
      <c r="V24" t="s" s="24">
        <v>200</v>
      </c>
      <c r="W24" t="s" s="24">
        <v>37</v>
      </c>
      <c r="X24" t="s" s="24">
        <v>37</v>
      </c>
      <c r="Y24" t="s" s="24">
        <v>201</v>
      </c>
      <c r="Z24" t="s" s="24">
        <v>202</v>
      </c>
      <c r="AA24" t="s" s="24">
        <v>37</v>
      </c>
      <c r="AB24" t="s" s="24">
        <v>203</v>
      </c>
    </row>
    <row r="25" ht="58.35" customHeight="1">
      <c r="A25" s="23"/>
      <c r="B25" t="s" s="24">
        <v>31</v>
      </c>
      <c r="C25" t="s" s="25">
        <v>204</v>
      </c>
      <c r="D25" s="26">
        <v>0</v>
      </c>
      <c r="E25" t="s" s="27">
        <v>205</v>
      </c>
      <c r="F25" t="s" s="24">
        <v>120</v>
      </c>
      <c r="G25" s="28"/>
      <c r="H25" t="s" s="24">
        <v>28</v>
      </c>
      <c r="I25" t="s" s="24">
        <v>171</v>
      </c>
      <c r="J25" t="s" s="24">
        <v>206</v>
      </c>
      <c r="K25" t="s" s="24">
        <v>207</v>
      </c>
      <c r="L25" s="28"/>
      <c r="M25" t="s" s="24">
        <v>48</v>
      </c>
      <c r="N25" s="28"/>
      <c r="O25" s="28"/>
      <c r="P25" t="s" s="24">
        <v>208</v>
      </c>
      <c r="Q25" t="s" s="30">
        <v>177</v>
      </c>
      <c r="R25" t="s" s="24">
        <v>37</v>
      </c>
      <c r="S25" t="s" s="24">
        <v>209</v>
      </c>
      <c r="T25" t="s" s="24">
        <v>37</v>
      </c>
      <c r="U25" t="s" s="24">
        <v>37</v>
      </c>
      <c r="V25" t="s" s="24">
        <v>37</v>
      </c>
      <c r="W25" t="s" s="24">
        <v>37</v>
      </c>
      <c r="X25" t="s" s="24">
        <v>37</v>
      </c>
      <c r="Y25" t="s" s="24">
        <v>179</v>
      </c>
      <c r="Z25" t="s" s="24">
        <v>180</v>
      </c>
      <c r="AA25" t="s" s="24">
        <v>37</v>
      </c>
      <c r="AB25" t="s" s="24">
        <v>210</v>
      </c>
    </row>
    <row r="26" ht="58.35" customHeight="1">
      <c r="A26" s="23"/>
      <c r="B26" t="s" s="24">
        <v>31</v>
      </c>
      <c r="C26" t="s" s="25">
        <v>211</v>
      </c>
      <c r="D26" s="26">
        <v>0</v>
      </c>
      <c r="E26" t="s" s="27">
        <v>212</v>
      </c>
      <c r="F26" t="s" s="24">
        <v>120</v>
      </c>
      <c r="G26" s="28"/>
      <c r="H26" t="s" s="24">
        <v>28</v>
      </c>
      <c r="I26" t="s" s="24">
        <v>171</v>
      </c>
      <c r="J26" t="s" s="24">
        <v>213</v>
      </c>
      <c r="K26" t="s" s="24">
        <v>207</v>
      </c>
      <c r="L26" s="41"/>
      <c r="M26" t="s" s="24">
        <v>35</v>
      </c>
      <c r="N26" t="s" s="24">
        <v>35</v>
      </c>
      <c r="O26" t="s" s="24">
        <v>214</v>
      </c>
      <c r="P26" t="s" s="24">
        <v>208</v>
      </c>
      <c r="Q26" t="s" s="30">
        <v>215</v>
      </c>
      <c r="R26" t="s" s="24">
        <v>37</v>
      </c>
      <c r="S26" t="s" s="24">
        <v>216</v>
      </c>
      <c r="T26" t="s" s="24">
        <v>37</v>
      </c>
      <c r="U26" t="s" s="24">
        <v>37</v>
      </c>
      <c r="V26" t="s" s="24">
        <v>37</v>
      </c>
      <c r="W26" t="s" s="24">
        <v>37</v>
      </c>
      <c r="X26" t="s" s="24">
        <v>37</v>
      </c>
      <c r="Y26" t="s" s="24">
        <v>179</v>
      </c>
      <c r="Z26" t="s" s="24">
        <v>180</v>
      </c>
      <c r="AA26" t="s" s="24">
        <v>37</v>
      </c>
      <c r="AB26" t="s" s="24">
        <v>217</v>
      </c>
    </row>
    <row r="27" ht="58.35" customHeight="1">
      <c r="A27" s="23"/>
      <c r="B27" t="s" s="24">
        <v>31</v>
      </c>
      <c r="C27" t="s" s="25">
        <v>218</v>
      </c>
      <c r="D27" s="26">
        <v>0</v>
      </c>
      <c r="E27" t="s" s="27">
        <v>219</v>
      </c>
      <c r="F27" t="s" s="24">
        <v>120</v>
      </c>
      <c r="G27" s="28"/>
      <c r="H27" t="s" s="24">
        <v>28</v>
      </c>
      <c r="I27" t="s" s="24">
        <v>171</v>
      </c>
      <c r="J27" t="s" s="24">
        <v>220</v>
      </c>
      <c r="K27" t="s" s="24">
        <v>207</v>
      </c>
      <c r="L27" s="41"/>
      <c r="M27" t="s" s="24">
        <v>35</v>
      </c>
      <c r="N27" t="s" s="24">
        <v>35</v>
      </c>
      <c r="O27" t="s" s="24">
        <v>165</v>
      </c>
      <c r="P27" t="s" s="24">
        <v>208</v>
      </c>
      <c r="Q27" t="s" s="30">
        <v>177</v>
      </c>
      <c r="R27" t="s" s="24">
        <v>37</v>
      </c>
      <c r="S27" t="s" s="24">
        <v>221</v>
      </c>
      <c r="T27" t="s" s="24">
        <v>37</v>
      </c>
      <c r="U27" t="s" s="24">
        <v>37</v>
      </c>
      <c r="V27" t="s" s="24">
        <v>37</v>
      </c>
      <c r="W27" t="s" s="24">
        <v>37</v>
      </c>
      <c r="X27" t="s" s="24">
        <v>37</v>
      </c>
      <c r="Y27" t="s" s="24">
        <v>179</v>
      </c>
      <c r="Z27" t="s" s="24">
        <v>180</v>
      </c>
      <c r="AA27" t="s" s="24">
        <v>37</v>
      </c>
      <c r="AB27" t="s" s="24">
        <v>222</v>
      </c>
    </row>
    <row r="28" ht="59.15" customHeight="1">
      <c r="A28" s="33"/>
      <c r="B28" t="s" s="34">
        <v>31</v>
      </c>
      <c r="C28" t="s" s="35">
        <v>223</v>
      </c>
      <c r="D28" s="36">
        <v>0</v>
      </c>
      <c r="E28" t="s" s="37">
        <v>224</v>
      </c>
      <c r="F28" t="s" s="34">
        <v>120</v>
      </c>
      <c r="G28" s="38"/>
      <c r="H28" t="s" s="34">
        <v>28</v>
      </c>
      <c r="I28" t="s" s="34">
        <v>171</v>
      </c>
      <c r="J28" t="s" s="34">
        <v>225</v>
      </c>
      <c r="K28" t="s" s="34">
        <v>207</v>
      </c>
      <c r="L28" s="42"/>
      <c r="M28" t="s" s="34">
        <v>35</v>
      </c>
      <c r="N28" t="s" s="34">
        <v>35</v>
      </c>
      <c r="O28" t="s" s="34">
        <v>165</v>
      </c>
      <c r="P28" t="s" s="34">
        <v>208</v>
      </c>
      <c r="Q28" t="s" s="40">
        <v>177</v>
      </c>
      <c r="R28" t="s" s="34">
        <v>37</v>
      </c>
      <c r="S28" t="s" s="34">
        <v>226</v>
      </c>
      <c r="T28" t="s" s="34">
        <v>37</v>
      </c>
      <c r="U28" t="s" s="34">
        <v>37</v>
      </c>
      <c r="V28" t="s" s="34">
        <v>37</v>
      </c>
      <c r="W28" t="s" s="34">
        <v>37</v>
      </c>
      <c r="X28" t="s" s="34">
        <v>37</v>
      </c>
      <c r="Y28" t="s" s="34">
        <v>179</v>
      </c>
      <c r="Z28" t="s" s="34">
        <v>180</v>
      </c>
      <c r="AA28" t="s" s="34">
        <v>37</v>
      </c>
      <c r="AB28" t="s" s="34">
        <v>227</v>
      </c>
    </row>
    <row r="29" ht="21.05" customHeight="1">
      <c r="A29" t="s" s="12">
        <v>228</v>
      </c>
      <c r="B29" s="13"/>
      <c r="C29" s="13"/>
      <c r="D29" s="14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</row>
    <row r="30" ht="58.55" customHeight="1">
      <c r="A30" s="15"/>
      <c r="B30" t="s" s="16">
        <v>31</v>
      </c>
      <c r="C30" t="s" s="17">
        <v>229</v>
      </c>
      <c r="D30" s="18">
        <v>2</v>
      </c>
      <c r="E30" t="s" s="19">
        <v>230</v>
      </c>
      <c r="F30" t="s" s="16">
        <v>120</v>
      </c>
      <c r="G30" s="20"/>
      <c r="H30" t="s" s="16">
        <v>28</v>
      </c>
      <c r="I30" t="s" s="16">
        <v>228</v>
      </c>
      <c r="J30" t="s" s="16">
        <v>231</v>
      </c>
      <c r="K30" s="21">
        <v>51</v>
      </c>
      <c r="L30" s="21" cm="1">
        <f t="array" ref="L30">K30*D30</f>
        <v>102</v>
      </c>
      <c r="M30" t="s" s="16">
        <v>232</v>
      </c>
      <c r="N30" t="s" s="16">
        <v>233</v>
      </c>
      <c r="O30" s="43">
        <v>46310</v>
      </c>
      <c r="P30" t="s" s="16">
        <v>234</v>
      </c>
      <c r="Q30" t="s" s="22">
        <v>235</v>
      </c>
      <c r="R30" t="s" s="16">
        <v>236</v>
      </c>
      <c r="S30" t="s" s="16">
        <v>237</v>
      </c>
      <c r="T30" t="s" s="16">
        <v>37</v>
      </c>
      <c r="U30" t="s" s="16">
        <v>37</v>
      </c>
      <c r="V30" t="s" s="16">
        <v>37</v>
      </c>
      <c r="W30" t="s" s="16">
        <v>37</v>
      </c>
      <c r="X30" t="s" s="16">
        <v>37</v>
      </c>
      <c r="Y30" t="s" s="16">
        <v>238</v>
      </c>
      <c r="Z30" t="s" s="16">
        <v>239</v>
      </c>
      <c r="AA30" t="s" s="16">
        <v>37</v>
      </c>
      <c r="AB30" t="s" s="16">
        <v>240</v>
      </c>
    </row>
    <row r="31" ht="59.15" customHeight="1">
      <c r="A31" s="33"/>
      <c r="B31" t="s" s="34">
        <v>31</v>
      </c>
      <c r="C31" t="s" s="35">
        <v>241</v>
      </c>
      <c r="D31" s="36">
        <v>0</v>
      </c>
      <c r="E31" t="s" s="37">
        <v>242</v>
      </c>
      <c r="F31" t="s" s="34">
        <v>120</v>
      </c>
      <c r="G31" s="38"/>
      <c r="H31" t="s" s="34">
        <v>28</v>
      </c>
      <c r="I31" t="s" s="34">
        <v>228</v>
      </c>
      <c r="J31" t="s" s="34">
        <v>243</v>
      </c>
      <c r="K31" s="39">
        <v>51</v>
      </c>
      <c r="L31" s="44" cm="1">
        <f t="array" ref="L31">D31*K31</f>
        <v>0</v>
      </c>
      <c r="M31" t="s" s="34">
        <v>232</v>
      </c>
      <c r="N31" t="s" s="34">
        <v>233</v>
      </c>
      <c r="O31" s="45">
        <v>46310</v>
      </c>
      <c r="P31" t="s" s="34">
        <v>244</v>
      </c>
      <c r="Q31" t="s" s="40">
        <v>235</v>
      </c>
      <c r="R31" t="s" s="34">
        <v>245</v>
      </c>
      <c r="S31" t="s" s="34">
        <v>246</v>
      </c>
      <c r="T31" t="s" s="34">
        <v>37</v>
      </c>
      <c r="U31" t="s" s="34">
        <v>37</v>
      </c>
      <c r="V31" t="s" s="34">
        <v>247</v>
      </c>
      <c r="W31" t="s" s="34">
        <v>37</v>
      </c>
      <c r="X31" t="s" s="34">
        <v>37</v>
      </c>
      <c r="Y31" t="s" s="34">
        <v>248</v>
      </c>
      <c r="Z31" t="s" s="34">
        <v>249</v>
      </c>
      <c r="AA31" t="s" s="34">
        <v>37</v>
      </c>
      <c r="AB31" t="s" s="34">
        <v>250</v>
      </c>
    </row>
    <row r="32" ht="21.05" customHeight="1">
      <c r="A32" t="s" s="12">
        <v>251</v>
      </c>
      <c r="B32" s="13"/>
      <c r="C32" s="13"/>
      <c r="D32" s="14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</row>
    <row r="33" ht="58.55" customHeight="1">
      <c r="A33" s="15"/>
      <c r="B33" t="s" s="16">
        <v>31</v>
      </c>
      <c r="C33" t="s" s="17">
        <v>252</v>
      </c>
      <c r="D33" s="18">
        <v>2</v>
      </c>
      <c r="E33" t="s" s="19">
        <v>253</v>
      </c>
      <c r="F33" t="s" s="16">
        <v>120</v>
      </c>
      <c r="G33" s="20"/>
      <c r="H33" t="s" s="16">
        <v>28</v>
      </c>
      <c r="I33" t="s" s="16">
        <v>251</v>
      </c>
      <c r="J33" t="s" s="16">
        <v>254</v>
      </c>
      <c r="K33" s="21">
        <v>51</v>
      </c>
      <c r="L33" s="46" cm="1">
        <f t="array" ref="L33">D33*K33</f>
        <v>102</v>
      </c>
      <c r="M33" t="s" s="16">
        <v>35</v>
      </c>
      <c r="N33" t="s" s="16">
        <v>35</v>
      </c>
      <c r="O33" t="s" s="16">
        <v>255</v>
      </c>
      <c r="P33" t="s" s="16">
        <v>256</v>
      </c>
      <c r="Q33" t="s" s="22">
        <v>215</v>
      </c>
      <c r="R33" t="s" s="16">
        <v>257</v>
      </c>
      <c r="S33" t="s" s="16">
        <v>258</v>
      </c>
      <c r="T33" t="s" s="16">
        <v>37</v>
      </c>
      <c r="U33" t="s" s="16">
        <v>37</v>
      </c>
      <c r="V33" t="s" s="16">
        <v>37</v>
      </c>
      <c r="W33" t="s" s="16">
        <v>37</v>
      </c>
      <c r="X33" t="s" s="16">
        <v>37</v>
      </c>
      <c r="Y33" t="s" s="16">
        <v>259</v>
      </c>
      <c r="Z33" t="s" s="16">
        <v>260</v>
      </c>
      <c r="AA33" t="s" s="16">
        <v>37</v>
      </c>
      <c r="AB33" t="s" s="16">
        <v>261</v>
      </c>
    </row>
    <row r="34" ht="58.35" customHeight="1">
      <c r="A34" s="23"/>
      <c r="B34" t="s" s="24">
        <v>31</v>
      </c>
      <c r="C34" t="s" s="25">
        <v>262</v>
      </c>
      <c r="D34" s="26">
        <v>2</v>
      </c>
      <c r="E34" t="s" s="27">
        <v>263</v>
      </c>
      <c r="F34" t="s" s="24">
        <v>120</v>
      </c>
      <c r="G34" s="28"/>
      <c r="H34" t="s" s="24">
        <v>28</v>
      </c>
      <c r="I34" t="s" s="24">
        <v>251</v>
      </c>
      <c r="J34" t="s" s="24">
        <v>254</v>
      </c>
      <c r="K34" s="29">
        <v>51</v>
      </c>
      <c r="L34" s="47" cm="1">
        <f t="array" ref="L34">D34*K34</f>
        <v>102</v>
      </c>
      <c r="M34" t="s" s="24">
        <v>35</v>
      </c>
      <c r="N34" t="s" s="24">
        <v>35</v>
      </c>
      <c r="O34" t="s" s="24">
        <v>264</v>
      </c>
      <c r="P34" t="s" s="24">
        <v>127</v>
      </c>
      <c r="Q34" t="s" s="30">
        <v>265</v>
      </c>
      <c r="R34" t="s" s="24">
        <v>266</v>
      </c>
      <c r="S34" t="s" s="24">
        <v>267</v>
      </c>
      <c r="T34" t="s" s="24">
        <v>37</v>
      </c>
      <c r="U34" t="s" s="24">
        <v>37</v>
      </c>
      <c r="V34" t="s" s="24">
        <v>268</v>
      </c>
      <c r="W34" t="s" s="24">
        <v>37</v>
      </c>
      <c r="X34" t="s" s="24">
        <v>37</v>
      </c>
      <c r="Y34" t="s" s="24">
        <v>269</v>
      </c>
      <c r="Z34" t="s" s="24">
        <v>260</v>
      </c>
      <c r="AA34" t="s" s="24">
        <v>37</v>
      </c>
      <c r="AB34" t="s" s="24">
        <v>270</v>
      </c>
    </row>
    <row r="35" ht="59.15" customHeight="1">
      <c r="A35" s="33"/>
      <c r="B35" t="s" s="34">
        <v>31</v>
      </c>
      <c r="C35" t="s" s="35">
        <v>271</v>
      </c>
      <c r="D35" s="36">
        <v>2</v>
      </c>
      <c r="E35" t="s" s="37">
        <v>272</v>
      </c>
      <c r="F35" t="s" s="34">
        <v>120</v>
      </c>
      <c r="G35" s="38"/>
      <c r="H35" t="s" s="34">
        <v>28</v>
      </c>
      <c r="I35" t="s" s="34">
        <v>251</v>
      </c>
      <c r="J35" t="s" s="34">
        <v>273</v>
      </c>
      <c r="K35" s="39">
        <v>51</v>
      </c>
      <c r="L35" s="44" cm="1">
        <f t="array" ref="L35">D35*K35</f>
        <v>102</v>
      </c>
      <c r="M35" t="s" s="34">
        <v>48</v>
      </c>
      <c r="N35" t="s" s="34">
        <v>37</v>
      </c>
      <c r="O35" s="45">
        <v>46310</v>
      </c>
      <c r="P35" t="s" s="34">
        <v>127</v>
      </c>
      <c r="Q35" t="s" s="40">
        <v>215</v>
      </c>
      <c r="R35" t="s" s="34">
        <v>274</v>
      </c>
      <c r="S35" t="s" s="34">
        <v>275</v>
      </c>
      <c r="T35" t="s" s="34">
        <v>37</v>
      </c>
      <c r="U35" t="s" s="34">
        <v>37</v>
      </c>
      <c r="V35" t="s" s="34">
        <v>37</v>
      </c>
      <c r="W35" t="s" s="34">
        <v>37</v>
      </c>
      <c r="X35" t="s" s="34">
        <v>37</v>
      </c>
      <c r="Y35" t="s" s="34">
        <v>37</v>
      </c>
      <c r="Z35" t="s" s="34">
        <v>260</v>
      </c>
      <c r="AA35" t="s" s="34">
        <v>37</v>
      </c>
      <c r="AB35" t="s" s="34">
        <v>276</v>
      </c>
    </row>
    <row r="36" ht="21.05" customHeight="1">
      <c r="A36" t="s" s="12">
        <v>277</v>
      </c>
      <c r="B36" s="13"/>
      <c r="C36" s="13"/>
      <c r="D36" s="14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</row>
    <row r="37" ht="72.55" customHeight="1">
      <c r="A37" s="15"/>
      <c r="B37" t="s" s="16">
        <v>31</v>
      </c>
      <c r="C37" t="s" s="17">
        <v>278</v>
      </c>
      <c r="D37" s="18">
        <v>2</v>
      </c>
      <c r="E37" t="s" s="19">
        <v>279</v>
      </c>
      <c r="F37" t="s" s="16">
        <v>120</v>
      </c>
      <c r="G37" s="20"/>
      <c r="H37" t="s" s="16">
        <v>28</v>
      </c>
      <c r="I37" t="s" s="16">
        <v>277</v>
      </c>
      <c r="J37" t="s" s="16">
        <v>280</v>
      </c>
      <c r="K37" s="21">
        <v>51</v>
      </c>
      <c r="L37" s="46" cm="1">
        <f t="array" ref="L37">D37*K37</f>
        <v>102</v>
      </c>
      <c r="M37" t="s" s="16">
        <v>35</v>
      </c>
      <c r="N37" t="s" s="16">
        <v>35</v>
      </c>
      <c r="O37" t="s" s="16">
        <v>281</v>
      </c>
      <c r="P37" t="s" s="16">
        <v>127</v>
      </c>
      <c r="Q37" t="s" s="22">
        <v>215</v>
      </c>
      <c r="R37" t="s" s="16">
        <v>245</v>
      </c>
      <c r="S37" t="s" s="16">
        <v>282</v>
      </c>
      <c r="T37" t="s" s="16">
        <v>37</v>
      </c>
      <c r="U37" t="s" s="16">
        <v>37</v>
      </c>
      <c r="V37" t="s" s="16">
        <v>37</v>
      </c>
      <c r="W37" t="s" s="16">
        <v>37</v>
      </c>
      <c r="X37" t="s" s="16">
        <v>37</v>
      </c>
      <c r="Y37" t="s" s="16">
        <v>37</v>
      </c>
      <c r="Z37" t="s" s="16">
        <v>260</v>
      </c>
      <c r="AA37" t="s" s="16">
        <v>37</v>
      </c>
      <c r="AB37" t="s" s="16">
        <v>283</v>
      </c>
    </row>
    <row r="38" ht="59.15" customHeight="1">
      <c r="A38" s="33"/>
      <c r="B38" t="s" s="34">
        <v>31</v>
      </c>
      <c r="C38" t="s" s="35">
        <v>284</v>
      </c>
      <c r="D38" s="36">
        <v>2</v>
      </c>
      <c r="E38" t="s" s="37">
        <v>285</v>
      </c>
      <c r="F38" t="s" s="34">
        <v>120</v>
      </c>
      <c r="G38" s="38"/>
      <c r="H38" t="s" s="34">
        <v>28</v>
      </c>
      <c r="I38" t="s" s="34">
        <v>277</v>
      </c>
      <c r="J38" t="s" s="34">
        <v>286</v>
      </c>
      <c r="K38" s="39">
        <v>51</v>
      </c>
      <c r="L38" s="44" cm="1">
        <f t="array" ref="L38">D38*K38</f>
        <v>102</v>
      </c>
      <c r="M38" t="s" s="34">
        <v>35</v>
      </c>
      <c r="N38" t="s" s="34">
        <v>35</v>
      </c>
      <c r="O38" t="s" s="34">
        <v>287</v>
      </c>
      <c r="P38" t="s" s="34">
        <v>127</v>
      </c>
      <c r="Q38" t="s" s="40">
        <v>215</v>
      </c>
      <c r="R38" t="s" s="34">
        <v>288</v>
      </c>
      <c r="S38" t="s" s="34">
        <v>289</v>
      </c>
      <c r="T38" t="s" s="34">
        <v>37</v>
      </c>
      <c r="U38" t="s" s="34">
        <v>37</v>
      </c>
      <c r="V38" t="s" s="34">
        <v>37</v>
      </c>
      <c r="W38" t="s" s="34">
        <v>37</v>
      </c>
      <c r="X38" t="s" s="34">
        <v>37</v>
      </c>
      <c r="Y38" t="s" s="34">
        <v>37</v>
      </c>
      <c r="Z38" t="s" s="34">
        <v>290</v>
      </c>
      <c r="AA38" t="s" s="34">
        <v>37</v>
      </c>
      <c r="AB38" t="s" s="34">
        <v>291</v>
      </c>
    </row>
    <row r="39" ht="21.05" customHeight="1">
      <c r="A39" t="s" s="12">
        <v>292</v>
      </c>
      <c r="B39" s="13"/>
      <c r="C39" s="13"/>
      <c r="D39" s="14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</row>
    <row r="40" ht="73.35" customHeight="1">
      <c r="A40" s="48"/>
      <c r="B40" t="s" s="49">
        <v>31</v>
      </c>
      <c r="C40" t="s" s="50">
        <v>293</v>
      </c>
      <c r="D40" s="51">
        <v>4</v>
      </c>
      <c r="E40" t="s" s="52">
        <v>294</v>
      </c>
      <c r="F40" t="s" s="49">
        <v>120</v>
      </c>
      <c r="G40" s="53"/>
      <c r="H40" t="s" s="49">
        <v>28</v>
      </c>
      <c r="I40" t="s" s="49">
        <v>292</v>
      </c>
      <c r="J40" t="s" s="49">
        <v>295</v>
      </c>
      <c r="K40" s="54">
        <v>55</v>
      </c>
      <c r="L40" s="55" cm="1">
        <f t="array" ref="L40">D40*K40</f>
        <v>220</v>
      </c>
      <c r="M40" t="s" s="49">
        <v>296</v>
      </c>
      <c r="N40" t="s" s="49">
        <v>296</v>
      </c>
      <c r="O40" t="s" s="49">
        <v>297</v>
      </c>
      <c r="P40" t="s" s="49">
        <v>127</v>
      </c>
      <c r="Q40" t="s" s="56">
        <v>265</v>
      </c>
      <c r="R40" t="s" s="49">
        <v>298</v>
      </c>
      <c r="S40" t="s" s="49">
        <v>299</v>
      </c>
      <c r="T40" t="s" s="49">
        <v>37</v>
      </c>
      <c r="U40" t="s" s="49">
        <v>37</v>
      </c>
      <c r="V40" t="s" s="49">
        <v>300</v>
      </c>
      <c r="W40" t="s" s="49">
        <v>37</v>
      </c>
      <c r="X40" t="s" s="49">
        <v>37</v>
      </c>
      <c r="Y40" t="s" s="49">
        <v>301</v>
      </c>
      <c r="Z40" t="s" s="49">
        <v>302</v>
      </c>
      <c r="AA40" t="s" s="49">
        <v>37</v>
      </c>
      <c r="AB40" t="s" s="49">
        <v>303</v>
      </c>
    </row>
    <row r="41" ht="21.7" customHeight="1">
      <c r="A41" t="s" s="9">
        <v>304</v>
      </c>
      <c r="B41" s="10"/>
      <c r="C41" s="10"/>
      <c r="D41" s="11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</row>
    <row r="42" ht="21.05" customHeight="1">
      <c r="A42" t="s" s="12">
        <v>305</v>
      </c>
      <c r="B42" s="13"/>
      <c r="C42" s="13"/>
      <c r="D42" s="14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</row>
    <row r="43" ht="114.55" customHeight="1">
      <c r="A43" s="15"/>
      <c r="B43" t="s" s="16">
        <v>31</v>
      </c>
      <c r="C43" t="s" s="17">
        <v>306</v>
      </c>
      <c r="D43" s="18">
        <v>2</v>
      </c>
      <c r="E43" t="s" s="19">
        <v>307</v>
      </c>
      <c r="F43" t="s" s="16">
        <v>304</v>
      </c>
      <c r="G43" s="20"/>
      <c r="H43" t="s" s="16">
        <v>28</v>
      </c>
      <c r="I43" t="s" s="16">
        <v>305</v>
      </c>
      <c r="J43" t="s" s="16">
        <v>308</v>
      </c>
      <c r="K43" s="21">
        <v>51</v>
      </c>
      <c r="L43" s="46" cm="1">
        <f t="array" ref="L43">D43*K43</f>
        <v>102</v>
      </c>
      <c r="M43" t="s" s="16">
        <v>309</v>
      </c>
      <c r="N43" t="s" s="16">
        <v>310</v>
      </c>
      <c r="O43" t="s" s="16">
        <v>311</v>
      </c>
      <c r="P43" t="s" s="16">
        <v>312</v>
      </c>
      <c r="Q43" t="s" s="22">
        <v>313</v>
      </c>
      <c r="R43" t="s" s="16">
        <v>314</v>
      </c>
      <c r="S43" t="s" s="16">
        <v>315</v>
      </c>
      <c r="T43" t="s" s="16">
        <v>37</v>
      </c>
      <c r="U43" t="s" s="16">
        <v>37</v>
      </c>
      <c r="V43" t="s" s="16">
        <v>316</v>
      </c>
      <c r="W43" t="s" s="16">
        <v>37</v>
      </c>
      <c r="X43" t="s" s="16">
        <v>37</v>
      </c>
      <c r="Y43" t="s" s="16">
        <v>37</v>
      </c>
      <c r="Z43" t="s" s="16">
        <v>317</v>
      </c>
      <c r="AA43" t="s" s="16">
        <v>37</v>
      </c>
      <c r="AB43" t="s" s="16">
        <v>318</v>
      </c>
    </row>
    <row r="44" ht="101.15" customHeight="1">
      <c r="A44" s="33"/>
      <c r="B44" t="s" s="34">
        <v>31</v>
      </c>
      <c r="C44" t="s" s="35">
        <v>319</v>
      </c>
      <c r="D44" s="36">
        <v>2</v>
      </c>
      <c r="E44" t="s" s="37">
        <v>320</v>
      </c>
      <c r="F44" t="s" s="34">
        <v>304</v>
      </c>
      <c r="G44" s="38"/>
      <c r="H44" t="s" s="34">
        <v>28</v>
      </c>
      <c r="I44" t="s" s="34">
        <v>305</v>
      </c>
      <c r="J44" t="s" s="34">
        <v>321</v>
      </c>
      <c r="K44" s="39">
        <v>51</v>
      </c>
      <c r="L44" s="44" cm="1">
        <f t="array" ref="L44">D44*K44</f>
        <v>102</v>
      </c>
      <c r="M44" t="s" s="34">
        <v>309</v>
      </c>
      <c r="N44" t="s" s="34">
        <v>322</v>
      </c>
      <c r="O44" t="s" s="34">
        <v>323</v>
      </c>
      <c r="P44" t="s" s="34">
        <v>312</v>
      </c>
      <c r="Q44" t="s" s="40">
        <v>313</v>
      </c>
      <c r="R44" t="s" s="34">
        <v>324</v>
      </c>
      <c r="S44" t="s" s="34">
        <v>325</v>
      </c>
      <c r="T44" t="s" s="34">
        <v>37</v>
      </c>
      <c r="U44" t="s" s="34">
        <v>37</v>
      </c>
      <c r="V44" t="s" s="34">
        <v>326</v>
      </c>
      <c r="W44" t="s" s="34">
        <v>37</v>
      </c>
      <c r="X44" t="s" s="34">
        <v>37</v>
      </c>
      <c r="Y44" t="s" s="34">
        <v>37</v>
      </c>
      <c r="Z44" t="s" s="34">
        <v>327</v>
      </c>
      <c r="AA44" t="s" s="34">
        <v>37</v>
      </c>
      <c r="AB44" t="s" s="34">
        <v>328</v>
      </c>
    </row>
    <row r="45" ht="21.7" customHeight="1">
      <c r="A45" t="s" s="6">
        <v>329</v>
      </c>
      <c r="B45" s="7"/>
      <c r="C45" s="7"/>
      <c r="D45" s="8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ht="21.7" customHeight="1">
      <c r="A46" t="s" s="9">
        <v>120</v>
      </c>
      <c r="B46" s="10"/>
      <c r="C46" s="10"/>
      <c r="D46" s="11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</row>
    <row r="47" ht="21.05" customHeight="1">
      <c r="A47" t="s" s="12">
        <v>228</v>
      </c>
      <c r="B47" s="13"/>
      <c r="C47" s="13"/>
      <c r="D47" s="14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</row>
    <row r="48" ht="59.35" customHeight="1">
      <c r="A48" s="48"/>
      <c r="B48" t="s" s="57">
        <v>330</v>
      </c>
      <c r="C48" t="s" s="50">
        <v>331</v>
      </c>
      <c r="D48" s="51">
        <v>2</v>
      </c>
      <c r="E48" t="s" s="52">
        <v>332</v>
      </c>
      <c r="F48" t="s" s="49">
        <v>120</v>
      </c>
      <c r="G48" s="53"/>
      <c r="H48" t="s" s="49">
        <v>329</v>
      </c>
      <c r="I48" t="s" s="49">
        <v>228</v>
      </c>
      <c r="J48" t="s" s="49">
        <v>333</v>
      </c>
      <c r="K48" s="54">
        <v>51</v>
      </c>
      <c r="L48" s="54" cm="1">
        <f t="array" ref="L48">K48*D48</f>
        <v>102</v>
      </c>
      <c r="M48" t="s" s="49">
        <v>334</v>
      </c>
      <c r="N48" t="s" s="49">
        <v>35</v>
      </c>
      <c r="O48" s="58">
        <v>46307</v>
      </c>
      <c r="P48" t="s" s="49">
        <v>234</v>
      </c>
      <c r="Q48" t="s" s="56">
        <v>215</v>
      </c>
      <c r="R48" t="s" s="49">
        <v>335</v>
      </c>
      <c r="S48" t="s" s="49">
        <v>336</v>
      </c>
      <c r="T48" t="s" s="49">
        <v>37</v>
      </c>
      <c r="U48" t="s" s="49">
        <v>37</v>
      </c>
      <c r="V48" t="s" s="49">
        <v>37</v>
      </c>
      <c r="W48" t="s" s="49">
        <v>37</v>
      </c>
      <c r="X48" t="s" s="49">
        <v>37</v>
      </c>
      <c r="Y48" t="s" s="49">
        <v>337</v>
      </c>
      <c r="Z48" t="s" s="49">
        <v>260</v>
      </c>
      <c r="AA48" t="s" s="49">
        <v>37</v>
      </c>
      <c r="AB48" t="s" s="49">
        <v>338</v>
      </c>
    </row>
    <row r="49" ht="21.7" customHeight="1">
      <c r="A49" t="s" s="9">
        <v>29</v>
      </c>
      <c r="B49" s="10"/>
      <c r="C49" s="10"/>
      <c r="D49" s="11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</row>
    <row r="50" ht="21.05" customHeight="1">
      <c r="A50" t="s" s="12">
        <v>30</v>
      </c>
      <c r="B50" s="13"/>
      <c r="C50" s="13"/>
      <c r="D50" s="14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</row>
    <row r="51" ht="100.55" customHeight="1">
      <c r="A51" s="15"/>
      <c r="B51" t="s" s="16">
        <v>339</v>
      </c>
      <c r="C51" t="s" s="17">
        <v>340</v>
      </c>
      <c r="D51" s="18">
        <v>0</v>
      </c>
      <c r="E51" t="s" s="19">
        <v>341</v>
      </c>
      <c r="F51" t="s" s="16">
        <v>29</v>
      </c>
      <c r="G51" s="20"/>
      <c r="H51" t="s" s="16">
        <v>329</v>
      </c>
      <c r="I51" t="s" s="16">
        <v>30</v>
      </c>
      <c r="J51" t="s" s="16">
        <v>34</v>
      </c>
      <c r="K51" s="21">
        <v>57</v>
      </c>
      <c r="L51" s="21">
        <v>114</v>
      </c>
      <c r="M51" t="s" s="16">
        <v>35</v>
      </c>
      <c r="N51" t="s" s="16">
        <v>342</v>
      </c>
      <c r="O51" t="s" s="16">
        <v>37</v>
      </c>
      <c r="P51" t="s" s="16">
        <v>343</v>
      </c>
      <c r="Q51" t="s" s="22">
        <v>38</v>
      </c>
      <c r="R51" t="s" s="16">
        <v>344</v>
      </c>
      <c r="S51" t="s" s="16">
        <v>40</v>
      </c>
      <c r="T51" t="s" s="16">
        <v>41</v>
      </c>
      <c r="U51" t="s" s="16">
        <v>41</v>
      </c>
      <c r="V51" t="s" s="16">
        <v>37</v>
      </c>
      <c r="W51" t="s" s="16">
        <v>345</v>
      </c>
      <c r="X51" t="s" s="16">
        <v>346</v>
      </c>
      <c r="Y51" t="s" s="16">
        <v>37</v>
      </c>
      <c r="Z51" t="s" s="16">
        <v>37</v>
      </c>
      <c r="AA51" t="s" s="16">
        <v>37</v>
      </c>
      <c r="AB51" t="s" s="16">
        <v>347</v>
      </c>
    </row>
    <row r="52" ht="73.15" customHeight="1">
      <c r="A52" s="33"/>
      <c r="B52" t="s" s="59">
        <v>330</v>
      </c>
      <c r="C52" t="s" s="35">
        <v>348</v>
      </c>
      <c r="D52" s="36">
        <v>5</v>
      </c>
      <c r="E52" t="s" s="37">
        <v>349</v>
      </c>
      <c r="F52" t="s" s="34">
        <v>29</v>
      </c>
      <c r="G52" s="38"/>
      <c r="H52" t="s" s="34">
        <v>329</v>
      </c>
      <c r="I52" t="s" s="34">
        <v>30</v>
      </c>
      <c r="J52" t="s" s="34">
        <v>78</v>
      </c>
      <c r="K52" s="39">
        <v>55</v>
      </c>
      <c r="L52" s="39">
        <v>275</v>
      </c>
      <c r="M52" t="s" s="34">
        <v>35</v>
      </c>
      <c r="N52" t="s" s="34">
        <v>342</v>
      </c>
      <c r="O52" t="s" s="34">
        <v>350</v>
      </c>
      <c r="P52" t="s" s="34">
        <v>351</v>
      </c>
      <c r="Q52" s="60">
        <v>-25</v>
      </c>
      <c r="R52" t="s" s="34">
        <v>352</v>
      </c>
      <c r="S52" t="s" s="34">
        <v>353</v>
      </c>
      <c r="T52" t="s" s="34">
        <v>42</v>
      </c>
      <c r="U52" t="s" s="34">
        <v>42</v>
      </c>
      <c r="V52" t="s" s="34">
        <v>37</v>
      </c>
      <c r="W52" t="s" s="34">
        <v>42</v>
      </c>
      <c r="X52" t="s" s="34">
        <v>354</v>
      </c>
      <c r="Y52" t="s" s="34">
        <v>37</v>
      </c>
      <c r="Z52" t="s" s="34">
        <v>37</v>
      </c>
      <c r="AA52" t="s" s="34">
        <v>37</v>
      </c>
      <c r="AB52" t="s" s="34">
        <v>355</v>
      </c>
    </row>
    <row r="53" ht="21.7" customHeight="1">
      <c r="A53" t="s" s="6">
        <v>356</v>
      </c>
      <c r="B53" s="7"/>
      <c r="C53" s="7"/>
      <c r="D53" s="8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 ht="21.7" customHeight="1">
      <c r="A54" t="s" s="9">
        <v>29</v>
      </c>
      <c r="B54" s="10"/>
      <c r="C54" s="10"/>
      <c r="D54" s="11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</row>
    <row r="55" ht="21.05" customHeight="1">
      <c r="A55" t="s" s="12">
        <v>30</v>
      </c>
      <c r="B55" s="13"/>
      <c r="C55" s="13"/>
      <c r="D55" s="14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</row>
    <row r="56" ht="73.35" customHeight="1">
      <c r="A56" s="48"/>
      <c r="B56" t="s" s="49">
        <v>357</v>
      </c>
      <c r="C56" t="s" s="50">
        <v>358</v>
      </c>
      <c r="D56" s="51">
        <v>0</v>
      </c>
      <c r="E56" t="s" s="52">
        <v>359</v>
      </c>
      <c r="F56" t="s" s="49">
        <v>29</v>
      </c>
      <c r="G56" s="53"/>
      <c r="H56" t="s" s="49">
        <v>356</v>
      </c>
      <c r="I56" t="s" s="49">
        <v>30</v>
      </c>
      <c r="J56" t="s" s="49">
        <v>34</v>
      </c>
      <c r="K56" s="54">
        <v>90</v>
      </c>
      <c r="L56" s="54">
        <v>180</v>
      </c>
      <c r="M56" t="s" s="49">
        <v>35</v>
      </c>
      <c r="N56" t="s" s="49">
        <v>35</v>
      </c>
      <c r="O56" t="s" s="49">
        <v>37</v>
      </c>
      <c r="P56" t="s" s="49">
        <v>37</v>
      </c>
      <c r="Q56" t="s" s="56">
        <v>38</v>
      </c>
      <c r="R56" t="s" s="49">
        <v>39</v>
      </c>
      <c r="S56" t="s" s="49">
        <v>40</v>
      </c>
      <c r="T56" t="s" s="49">
        <v>41</v>
      </c>
      <c r="U56" t="s" s="49">
        <v>41</v>
      </c>
      <c r="V56" t="s" s="49">
        <v>37</v>
      </c>
      <c r="W56" t="s" s="49">
        <v>360</v>
      </c>
      <c r="X56" t="s" s="49">
        <v>361</v>
      </c>
      <c r="Y56" t="s" s="49">
        <v>37</v>
      </c>
      <c r="Z56" t="s" s="49">
        <v>37</v>
      </c>
      <c r="AA56" t="s" s="49">
        <v>37</v>
      </c>
      <c r="AB56" t="s" s="49">
        <v>362</v>
      </c>
    </row>
    <row r="57" ht="21.7" customHeight="1">
      <c r="A57" t="s" s="6">
        <v>363</v>
      </c>
      <c r="B57" s="7"/>
      <c r="C57" s="7"/>
      <c r="D57" s="8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 ht="21.7" customHeight="1">
      <c r="A58" t="s" s="9">
        <v>29</v>
      </c>
      <c r="B58" s="10"/>
      <c r="C58" s="10"/>
      <c r="D58" s="11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</row>
    <row r="59" ht="21.05" customHeight="1">
      <c r="A59" t="s" s="12">
        <v>30</v>
      </c>
      <c r="B59" s="13"/>
      <c r="C59" s="13"/>
      <c r="D59" s="14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</row>
    <row r="60" ht="73.35" customHeight="1">
      <c r="A60" s="48"/>
      <c r="B60" t="s" s="57">
        <v>364</v>
      </c>
      <c r="C60" t="s" s="50">
        <v>365</v>
      </c>
      <c r="D60" s="51">
        <v>3</v>
      </c>
      <c r="E60" t="s" s="52">
        <v>366</v>
      </c>
      <c r="F60" t="s" s="49">
        <v>29</v>
      </c>
      <c r="G60" s="53"/>
      <c r="H60" t="s" s="49">
        <v>363</v>
      </c>
      <c r="I60" t="s" s="49">
        <v>30</v>
      </c>
      <c r="J60" t="s" s="49">
        <v>367</v>
      </c>
      <c r="K60" s="54">
        <v>65</v>
      </c>
      <c r="L60" s="54">
        <v>195</v>
      </c>
      <c r="M60" t="s" s="49">
        <v>48</v>
      </c>
      <c r="N60" t="s" s="49">
        <v>49</v>
      </c>
      <c r="O60" t="s" s="49">
        <v>368</v>
      </c>
      <c r="P60" t="s" s="49">
        <v>37</v>
      </c>
      <c r="Q60" s="61">
        <v>-25</v>
      </c>
      <c r="R60" t="s" s="49">
        <v>149</v>
      </c>
      <c r="S60" t="s" s="49">
        <v>369</v>
      </c>
      <c r="T60" t="s" s="49">
        <v>360</v>
      </c>
      <c r="U60" t="s" s="49">
        <v>42</v>
      </c>
      <c r="V60" t="s" s="49">
        <v>37</v>
      </c>
      <c r="W60" t="s" s="49">
        <v>360</v>
      </c>
      <c r="X60" t="s" s="49">
        <v>370</v>
      </c>
      <c r="Y60" t="s" s="49">
        <v>37</v>
      </c>
      <c r="Z60" t="s" s="49">
        <v>37</v>
      </c>
      <c r="AA60" t="s" s="49">
        <v>37</v>
      </c>
      <c r="AB60" t="s" s="49">
        <v>371</v>
      </c>
    </row>
    <row r="61" ht="21.7" customHeight="1">
      <c r="A61" t="s" s="9">
        <v>120</v>
      </c>
      <c r="B61" s="10"/>
      <c r="C61" s="10"/>
      <c r="D61" s="11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</row>
    <row r="62" ht="21.05" customHeight="1">
      <c r="A62" t="s" s="12">
        <v>228</v>
      </c>
      <c r="B62" s="13"/>
      <c r="C62" s="13"/>
      <c r="D62" s="14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</row>
    <row r="63" ht="73.35" customHeight="1">
      <c r="A63" s="48"/>
      <c r="B63" t="s" s="49">
        <v>372</v>
      </c>
      <c r="C63" t="s" s="50">
        <v>373</v>
      </c>
      <c r="D63" s="51">
        <v>0</v>
      </c>
      <c r="E63" t="s" s="52">
        <v>374</v>
      </c>
      <c r="F63" t="s" s="49">
        <v>120</v>
      </c>
      <c r="G63" s="53"/>
      <c r="H63" t="s" s="49">
        <v>363</v>
      </c>
      <c r="I63" t="s" s="49">
        <v>228</v>
      </c>
      <c r="J63" t="s" s="49">
        <v>375</v>
      </c>
      <c r="K63" t="s" s="49">
        <v>376</v>
      </c>
      <c r="L63" s="62"/>
      <c r="M63" t="s" s="49">
        <v>377</v>
      </c>
      <c r="N63" t="s" s="49">
        <v>37</v>
      </c>
      <c r="O63" t="s" s="49">
        <v>350</v>
      </c>
      <c r="P63" t="s" s="49">
        <v>378</v>
      </c>
      <c r="Q63" t="s" s="56">
        <v>265</v>
      </c>
      <c r="R63" t="s" s="49">
        <v>257</v>
      </c>
      <c r="S63" t="s" s="49">
        <v>379</v>
      </c>
      <c r="T63" t="s" s="49">
        <v>37</v>
      </c>
      <c r="U63" t="s" s="49">
        <v>37</v>
      </c>
      <c r="V63" t="s" s="49">
        <v>37</v>
      </c>
      <c r="W63" t="s" s="49">
        <v>37</v>
      </c>
      <c r="X63" t="s" s="49">
        <v>37</v>
      </c>
      <c r="Y63" t="s" s="49">
        <v>380</v>
      </c>
      <c r="Z63" t="s" s="49">
        <v>260</v>
      </c>
      <c r="AA63" t="s" s="49">
        <v>37</v>
      </c>
      <c r="AB63" t="s" s="49">
        <v>381</v>
      </c>
    </row>
    <row r="64" ht="21.7" customHeight="1">
      <c r="A64" t="s" s="6">
        <v>382</v>
      </c>
      <c r="B64" s="7"/>
      <c r="C64" s="7"/>
      <c r="D64" s="8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 ht="21.7" customHeight="1">
      <c r="A65" t="s" s="9">
        <v>29</v>
      </c>
      <c r="B65" s="10"/>
      <c r="C65" s="10"/>
      <c r="D65" s="11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</row>
    <row r="66" ht="21.05" customHeight="1">
      <c r="A66" t="s" s="12">
        <v>30</v>
      </c>
      <c r="B66" s="13"/>
      <c r="C66" s="13"/>
      <c r="D66" s="14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</row>
    <row r="67" ht="73.35" customHeight="1">
      <c r="A67" s="48"/>
      <c r="B67" t="s" s="57">
        <v>383</v>
      </c>
      <c r="C67" t="s" s="50">
        <v>384</v>
      </c>
      <c r="D67" s="51">
        <v>2</v>
      </c>
      <c r="E67" t="s" s="52">
        <v>385</v>
      </c>
      <c r="F67" t="s" s="49">
        <v>29</v>
      </c>
      <c r="G67" t="s" s="49">
        <v>386</v>
      </c>
      <c r="H67" t="s" s="49">
        <v>382</v>
      </c>
      <c r="I67" t="s" s="49">
        <v>30</v>
      </c>
      <c r="J67" t="s" s="49">
        <v>387</v>
      </c>
      <c r="K67" s="54">
        <v>38</v>
      </c>
      <c r="L67" s="54">
        <v>76</v>
      </c>
      <c r="M67" t="s" s="49">
        <v>386</v>
      </c>
      <c r="N67" t="s" s="49">
        <v>35</v>
      </c>
      <c r="O67" s="54">
        <v>20</v>
      </c>
      <c r="P67" t="s" s="49">
        <v>388</v>
      </c>
      <c r="Q67" s="61">
        <v>-30</v>
      </c>
      <c r="R67" t="s" s="49">
        <v>389</v>
      </c>
      <c r="S67" t="s" s="49">
        <v>390</v>
      </c>
      <c r="T67" t="s" s="49">
        <v>55</v>
      </c>
      <c r="U67" t="s" s="49">
        <v>54</v>
      </c>
      <c r="V67" t="s" s="49">
        <v>37</v>
      </c>
      <c r="W67" t="s" s="49">
        <v>54</v>
      </c>
      <c r="X67" t="s" s="49">
        <v>391</v>
      </c>
      <c r="Y67" t="s" s="49">
        <v>37</v>
      </c>
      <c r="Z67" t="s" s="49">
        <v>37</v>
      </c>
      <c r="AA67" t="s" s="49">
        <v>37</v>
      </c>
      <c r="AB67" t="s" s="49">
        <v>392</v>
      </c>
    </row>
    <row r="68" ht="21.7" customHeight="1">
      <c r="A68" t="s" s="6">
        <v>393</v>
      </c>
      <c r="B68" s="7"/>
      <c r="C68" s="7"/>
      <c r="D68" s="8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 ht="21.7" customHeight="1">
      <c r="A69" t="s" s="9">
        <v>120</v>
      </c>
      <c r="B69" s="10"/>
      <c r="C69" s="10"/>
      <c r="D69" s="11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</row>
    <row r="70" ht="21.05" customHeight="1">
      <c r="A70" t="s" s="12">
        <v>30</v>
      </c>
      <c r="B70" s="13"/>
      <c r="C70" s="13"/>
      <c r="D70" s="14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</row>
    <row r="71" ht="59.35" customHeight="1">
      <c r="A71" s="48"/>
      <c r="B71" t="s" s="57">
        <v>394</v>
      </c>
      <c r="C71" t="s" s="50">
        <v>395</v>
      </c>
      <c r="D71" s="51">
        <v>3</v>
      </c>
      <c r="E71" t="s" s="52">
        <v>396</v>
      </c>
      <c r="F71" t="s" s="49">
        <v>120</v>
      </c>
      <c r="G71" s="53"/>
      <c r="H71" t="s" s="49">
        <v>393</v>
      </c>
      <c r="I71" t="s" s="49">
        <v>30</v>
      </c>
      <c r="J71" t="s" s="49">
        <v>397</v>
      </c>
      <c r="K71" s="54">
        <v>51</v>
      </c>
      <c r="L71" s="54" cm="1">
        <f t="array" ref="L71">K71*D71</f>
        <v>153</v>
      </c>
      <c r="M71" t="s" s="49">
        <v>48</v>
      </c>
      <c r="N71" t="s" s="49">
        <v>147</v>
      </c>
      <c r="O71" t="s" s="49">
        <v>148</v>
      </c>
      <c r="P71" t="s" s="49">
        <v>127</v>
      </c>
      <c r="Q71" t="s" s="56">
        <v>128</v>
      </c>
      <c r="R71" t="s" s="49">
        <v>236</v>
      </c>
      <c r="S71" t="s" s="49">
        <v>398</v>
      </c>
      <c r="T71" t="s" s="49">
        <v>37</v>
      </c>
      <c r="U71" t="s" s="49">
        <v>159</v>
      </c>
      <c r="V71" t="s" s="49">
        <v>37</v>
      </c>
      <c r="W71" t="s" s="49">
        <v>37</v>
      </c>
      <c r="X71" t="s" s="49">
        <v>37</v>
      </c>
      <c r="Y71" s="54">
        <v>3</v>
      </c>
      <c r="Z71" t="s" s="49">
        <v>73</v>
      </c>
      <c r="AA71" t="s" s="49">
        <v>37</v>
      </c>
      <c r="AB71" t="s" s="49">
        <v>399</v>
      </c>
    </row>
    <row r="72" ht="21.05" customHeight="1">
      <c r="A72" t="s" s="12">
        <v>228</v>
      </c>
      <c r="B72" s="13"/>
      <c r="C72" s="13"/>
      <c r="D72" s="14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</row>
    <row r="73" ht="73.35" customHeight="1">
      <c r="A73" s="48"/>
      <c r="B73" t="s" s="49">
        <v>400</v>
      </c>
      <c r="C73" t="s" s="50">
        <v>401</v>
      </c>
      <c r="D73" s="51">
        <v>0</v>
      </c>
      <c r="E73" t="s" s="52">
        <v>402</v>
      </c>
      <c r="F73" t="s" s="49">
        <v>120</v>
      </c>
      <c r="G73" s="53"/>
      <c r="H73" t="s" s="49">
        <v>393</v>
      </c>
      <c r="I73" t="s" s="49">
        <v>228</v>
      </c>
      <c r="J73" t="s" s="49">
        <v>403</v>
      </c>
      <c r="K73" t="s" s="49">
        <v>404</v>
      </c>
      <c r="L73" s="62"/>
      <c r="M73" t="s" s="49">
        <v>405</v>
      </c>
      <c r="N73" t="s" s="49">
        <v>35</v>
      </c>
      <c r="O73" t="s" s="49">
        <v>368</v>
      </c>
      <c r="P73" t="s" s="49">
        <v>378</v>
      </c>
      <c r="Q73" t="s" s="56">
        <v>215</v>
      </c>
      <c r="R73" t="s" s="49">
        <v>406</v>
      </c>
      <c r="S73" t="s" s="49">
        <v>407</v>
      </c>
      <c r="T73" t="s" s="49">
        <v>37</v>
      </c>
      <c r="U73" t="s" s="49">
        <v>37</v>
      </c>
      <c r="V73" t="s" s="49">
        <v>408</v>
      </c>
      <c r="W73" t="s" s="49">
        <v>37</v>
      </c>
      <c r="X73" t="s" s="49">
        <v>37</v>
      </c>
      <c r="Y73" t="s" s="49">
        <v>409</v>
      </c>
      <c r="Z73" t="s" s="49">
        <v>410</v>
      </c>
      <c r="AA73" t="s" s="49">
        <v>37</v>
      </c>
      <c r="AB73" t="s" s="49">
        <v>411</v>
      </c>
    </row>
    <row r="74" ht="21.7" customHeight="1">
      <c r="A74" t="s" s="6">
        <v>412</v>
      </c>
      <c r="B74" s="7"/>
      <c r="C74" s="7"/>
      <c r="D74" s="8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ht="21.7" customHeight="1">
      <c r="A75" t="s" s="9">
        <v>120</v>
      </c>
      <c r="B75" s="10"/>
      <c r="C75" s="10"/>
      <c r="D75" s="11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</row>
    <row r="76" ht="21.05" customHeight="1">
      <c r="A76" t="s" s="12">
        <v>228</v>
      </c>
      <c r="B76" s="13"/>
      <c r="C76" s="13"/>
      <c r="D76" s="14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</row>
    <row r="77" ht="73.35" customHeight="1">
      <c r="A77" s="48"/>
      <c r="B77" t="s" s="57">
        <v>413</v>
      </c>
      <c r="C77" t="s" s="50">
        <v>414</v>
      </c>
      <c r="D77" s="51">
        <v>2</v>
      </c>
      <c r="E77" t="s" s="52">
        <v>415</v>
      </c>
      <c r="F77" t="s" s="49">
        <v>120</v>
      </c>
      <c r="G77" s="53"/>
      <c r="H77" t="s" s="49">
        <v>412</v>
      </c>
      <c r="I77" t="s" s="49">
        <v>228</v>
      </c>
      <c r="J77" t="s" s="49">
        <v>416</v>
      </c>
      <c r="K77" s="54">
        <v>51</v>
      </c>
      <c r="L77" s="54" cm="1">
        <f t="array" ref="L77">K77*D77</f>
        <v>102</v>
      </c>
      <c r="M77" t="s" s="49">
        <v>334</v>
      </c>
      <c r="N77" t="s" s="49">
        <v>35</v>
      </c>
      <c r="O77" s="58">
        <v>46307</v>
      </c>
      <c r="P77" t="s" s="49">
        <v>234</v>
      </c>
      <c r="Q77" t="s" s="56">
        <v>215</v>
      </c>
      <c r="R77" t="s" s="49">
        <v>257</v>
      </c>
      <c r="S77" t="s" s="49">
        <v>417</v>
      </c>
      <c r="T77" t="s" s="49">
        <v>37</v>
      </c>
      <c r="U77" t="s" s="49">
        <v>37</v>
      </c>
      <c r="V77" t="s" s="49">
        <v>37</v>
      </c>
      <c r="W77" t="s" s="49">
        <v>37</v>
      </c>
      <c r="X77" t="s" s="49">
        <v>37</v>
      </c>
      <c r="Y77" t="s" s="49">
        <v>238</v>
      </c>
      <c r="Z77" t="s" s="49">
        <v>418</v>
      </c>
      <c r="AA77" t="s" s="49">
        <v>37</v>
      </c>
      <c r="AB77" t="s" s="49">
        <v>419</v>
      </c>
    </row>
    <row r="78" ht="21.05" customHeight="1">
      <c r="A78" t="s" s="12">
        <v>251</v>
      </c>
      <c r="B78" s="13"/>
      <c r="C78" s="13"/>
      <c r="D78" s="14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</row>
    <row r="79" ht="72.55" customHeight="1">
      <c r="A79" s="15"/>
      <c r="B79" t="s" s="16">
        <v>420</v>
      </c>
      <c r="C79" t="s" s="17">
        <v>421</v>
      </c>
      <c r="D79" s="18">
        <v>0</v>
      </c>
      <c r="E79" t="s" s="19">
        <v>422</v>
      </c>
      <c r="F79" t="s" s="16">
        <v>120</v>
      </c>
      <c r="G79" s="20"/>
      <c r="H79" t="s" s="16">
        <v>412</v>
      </c>
      <c r="I79" t="s" s="16">
        <v>251</v>
      </c>
      <c r="J79" t="s" s="16">
        <v>423</v>
      </c>
      <c r="K79" t="s" s="16">
        <v>37</v>
      </c>
      <c r="L79" s="63"/>
      <c r="M79" t="s" s="16">
        <v>48</v>
      </c>
      <c r="N79" t="s" s="16">
        <v>37</v>
      </c>
      <c r="O79" t="s" s="16">
        <v>424</v>
      </c>
      <c r="P79" t="s" s="16">
        <v>425</v>
      </c>
      <c r="Q79" t="s" s="22">
        <v>215</v>
      </c>
      <c r="R79" t="s" s="16">
        <v>426</v>
      </c>
      <c r="S79" t="s" s="16">
        <v>427</v>
      </c>
      <c r="T79" t="s" s="16">
        <v>37</v>
      </c>
      <c r="U79" t="s" s="16">
        <v>37</v>
      </c>
      <c r="V79" t="s" s="16">
        <v>37</v>
      </c>
      <c r="W79" t="s" s="16">
        <v>37</v>
      </c>
      <c r="X79" t="s" s="16">
        <v>37</v>
      </c>
      <c r="Y79" t="s" s="16">
        <v>37</v>
      </c>
      <c r="Z79" t="s" s="16">
        <v>260</v>
      </c>
      <c r="AA79" t="s" s="16">
        <v>37</v>
      </c>
      <c r="AB79" t="s" s="16">
        <v>428</v>
      </c>
    </row>
    <row r="80" ht="73.15" customHeight="1">
      <c r="A80" s="33"/>
      <c r="B80" t="s" s="34">
        <v>420</v>
      </c>
      <c r="C80" t="s" s="35">
        <v>429</v>
      </c>
      <c r="D80" s="36">
        <v>0</v>
      </c>
      <c r="E80" t="s" s="37">
        <v>430</v>
      </c>
      <c r="F80" t="s" s="34">
        <v>120</v>
      </c>
      <c r="G80" s="38"/>
      <c r="H80" t="s" s="34">
        <v>412</v>
      </c>
      <c r="I80" t="s" s="34">
        <v>251</v>
      </c>
      <c r="J80" t="s" s="34">
        <v>431</v>
      </c>
      <c r="K80" t="s" s="34">
        <v>37</v>
      </c>
      <c r="L80" s="42"/>
      <c r="M80" t="s" s="34">
        <v>48</v>
      </c>
      <c r="N80" t="s" s="34">
        <v>37</v>
      </c>
      <c r="O80" t="s" s="34">
        <v>264</v>
      </c>
      <c r="P80" t="s" s="34">
        <v>425</v>
      </c>
      <c r="Q80" t="s" s="40">
        <v>215</v>
      </c>
      <c r="R80" t="s" s="34">
        <v>432</v>
      </c>
      <c r="S80" t="s" s="34">
        <v>258</v>
      </c>
      <c r="T80" t="s" s="34">
        <v>37</v>
      </c>
      <c r="U80" t="s" s="34">
        <v>37</v>
      </c>
      <c r="V80" t="s" s="34">
        <v>37</v>
      </c>
      <c r="W80" t="s" s="34">
        <v>37</v>
      </c>
      <c r="X80" t="s" s="34">
        <v>37</v>
      </c>
      <c r="Y80" t="s" s="34">
        <v>37</v>
      </c>
      <c r="Z80" t="s" s="34">
        <v>260</v>
      </c>
      <c r="AA80" t="s" s="34">
        <v>37</v>
      </c>
      <c r="AB80" t="s" s="34">
        <v>433</v>
      </c>
    </row>
    <row r="81" ht="21.7" customHeight="1">
      <c r="A81" t="s" s="6">
        <v>434</v>
      </c>
      <c r="B81" s="7"/>
      <c r="C81" s="7"/>
      <c r="D81" s="8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 ht="21.7" customHeight="1">
      <c r="A82" t="s" s="9">
        <v>120</v>
      </c>
      <c r="B82" s="10"/>
      <c r="C82" s="10"/>
      <c r="D82" s="11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</row>
    <row r="83" ht="21.05" customHeight="1">
      <c r="A83" t="s" s="12">
        <v>435</v>
      </c>
      <c r="B83" s="13"/>
      <c r="C83" s="13"/>
      <c r="D83" s="14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</row>
    <row r="84" ht="100.55" customHeight="1">
      <c r="A84" s="15"/>
      <c r="B84" t="s" s="16">
        <v>436</v>
      </c>
      <c r="C84" t="s" s="17">
        <v>437</v>
      </c>
      <c r="D84" s="18">
        <v>2</v>
      </c>
      <c r="E84" t="s" s="19">
        <v>438</v>
      </c>
      <c r="F84" t="s" s="16">
        <v>120</v>
      </c>
      <c r="G84" s="20"/>
      <c r="H84" t="s" s="16">
        <v>434</v>
      </c>
      <c r="I84" t="s" s="16">
        <v>435</v>
      </c>
      <c r="J84" t="s" s="16">
        <v>439</v>
      </c>
      <c r="K84" s="21">
        <v>50</v>
      </c>
      <c r="L84" s="46" cm="1">
        <f t="array" ref="L84">D84*K84</f>
        <v>100</v>
      </c>
      <c r="M84" t="s" s="16">
        <v>440</v>
      </c>
      <c r="N84" t="s" s="16">
        <v>35</v>
      </c>
      <c r="O84" t="s" s="16">
        <v>441</v>
      </c>
      <c r="P84" t="s" s="16">
        <v>442</v>
      </c>
      <c r="Q84" t="s" s="22">
        <v>215</v>
      </c>
      <c r="R84" t="s" s="16">
        <v>443</v>
      </c>
      <c r="S84" t="s" s="16">
        <v>444</v>
      </c>
      <c r="T84" t="s" s="16">
        <v>37</v>
      </c>
      <c r="U84" t="s" s="16">
        <v>37</v>
      </c>
      <c r="V84" t="s" s="16">
        <v>37</v>
      </c>
      <c r="W84" t="s" s="16">
        <v>37</v>
      </c>
      <c r="X84" t="s" s="16">
        <v>37</v>
      </c>
      <c r="Y84" t="s" s="16">
        <v>37</v>
      </c>
      <c r="Z84" t="s" s="16">
        <v>445</v>
      </c>
      <c r="AA84" t="s" s="16">
        <v>37</v>
      </c>
      <c r="AB84" t="s" s="16">
        <v>446</v>
      </c>
    </row>
    <row r="85" ht="101.15" customHeight="1">
      <c r="A85" s="33"/>
      <c r="B85" t="s" s="34">
        <v>436</v>
      </c>
      <c r="C85" t="s" s="35">
        <v>447</v>
      </c>
      <c r="D85" s="36">
        <v>2</v>
      </c>
      <c r="E85" t="s" s="37">
        <v>448</v>
      </c>
      <c r="F85" t="s" s="34">
        <v>120</v>
      </c>
      <c r="G85" s="38"/>
      <c r="H85" t="s" s="34">
        <v>434</v>
      </c>
      <c r="I85" t="s" s="34">
        <v>435</v>
      </c>
      <c r="J85" t="s" s="34">
        <v>449</v>
      </c>
      <c r="K85" s="39">
        <v>50</v>
      </c>
      <c r="L85" s="44" cm="1">
        <f t="array" ref="L85">D85*K85</f>
        <v>100</v>
      </c>
      <c r="M85" t="s" s="34">
        <v>35</v>
      </c>
      <c r="N85" t="s" s="34">
        <v>35</v>
      </c>
      <c r="O85" t="s" s="34">
        <v>450</v>
      </c>
      <c r="P85" t="s" s="34">
        <v>451</v>
      </c>
      <c r="Q85" t="s" s="40">
        <v>313</v>
      </c>
      <c r="R85" t="s" s="34">
        <v>157</v>
      </c>
      <c r="S85" t="s" s="34">
        <v>452</v>
      </c>
      <c r="T85" t="s" s="34">
        <v>37</v>
      </c>
      <c r="U85" t="s" s="34">
        <v>37</v>
      </c>
      <c r="V85" t="s" s="34">
        <v>37</v>
      </c>
      <c r="W85" t="s" s="34">
        <v>37</v>
      </c>
      <c r="X85" t="s" s="34">
        <v>37</v>
      </c>
      <c r="Y85" t="s" s="34">
        <v>37</v>
      </c>
      <c r="Z85" t="s" s="34">
        <v>260</v>
      </c>
      <c r="AA85" t="s" s="34">
        <v>37</v>
      </c>
      <c r="AB85" t="s" s="34">
        <v>453</v>
      </c>
    </row>
    <row r="86" ht="21.7" customHeight="1">
      <c r="A86" t="s" s="6">
        <v>454</v>
      </c>
      <c r="B86" s="7"/>
      <c r="C86" s="7"/>
      <c r="D86" s="8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 ht="21.7" customHeight="1">
      <c r="A87" t="s" s="9">
        <v>120</v>
      </c>
      <c r="B87" s="10"/>
      <c r="C87" s="10"/>
      <c r="D87" s="11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</row>
    <row r="88" ht="21.05" customHeight="1">
      <c r="A88" t="s" s="12">
        <v>435</v>
      </c>
      <c r="B88" s="13"/>
      <c r="C88" s="13"/>
      <c r="D88" s="14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</row>
    <row r="89" ht="86.55" customHeight="1">
      <c r="A89" s="15"/>
      <c r="B89" t="s" s="16">
        <v>455</v>
      </c>
      <c r="C89" t="s" s="17">
        <v>456</v>
      </c>
      <c r="D89" s="18">
        <v>2</v>
      </c>
      <c r="E89" t="s" s="19">
        <v>457</v>
      </c>
      <c r="F89" t="s" s="16">
        <v>120</v>
      </c>
      <c r="G89" s="20"/>
      <c r="H89" t="s" s="16">
        <v>454</v>
      </c>
      <c r="I89" t="s" s="16">
        <v>435</v>
      </c>
      <c r="J89" t="s" s="16">
        <v>458</v>
      </c>
      <c r="K89" s="21">
        <v>70</v>
      </c>
      <c r="L89" s="46" cm="1">
        <f t="array" ref="L89">D89*K89</f>
        <v>140</v>
      </c>
      <c r="M89" t="s" s="16">
        <v>35</v>
      </c>
      <c r="N89" t="s" s="16">
        <v>35</v>
      </c>
      <c r="O89" t="s" s="16">
        <v>450</v>
      </c>
      <c r="P89" t="s" s="16">
        <v>451</v>
      </c>
      <c r="Q89" t="s" s="22">
        <v>313</v>
      </c>
      <c r="R89" t="s" s="16">
        <v>459</v>
      </c>
      <c r="S89" t="s" s="16">
        <v>460</v>
      </c>
      <c r="T89" t="s" s="16">
        <v>37</v>
      </c>
      <c r="U89" t="s" s="16">
        <v>37</v>
      </c>
      <c r="V89" t="s" s="16">
        <v>37</v>
      </c>
      <c r="W89" t="s" s="16">
        <v>37</v>
      </c>
      <c r="X89" t="s" s="16">
        <v>37</v>
      </c>
      <c r="Y89" t="s" s="16">
        <v>37</v>
      </c>
      <c r="Z89" t="s" s="16">
        <v>260</v>
      </c>
      <c r="AA89" t="s" s="16">
        <v>37</v>
      </c>
      <c r="AB89" t="s" s="16">
        <v>461</v>
      </c>
    </row>
  </sheetData>
  <mergeCells count="1">
    <mergeCell ref="A1:AB1"/>
  </mergeCells>
  <hyperlinks>
    <hyperlink ref="B6" r:id="rId1" location="" tooltip="" display="RootsToFruitsNursery.com"/>
    <hyperlink ref="E6" r:id="rId2" location="" tooltip="" display="https://rootstofruitsnursery.com/products/browns-snout?variant=45421334102212"/>
    <hyperlink ref="B7" r:id="rId3" location="" tooltip="" display="RootsToFruitsNursery.com"/>
    <hyperlink ref="E7" r:id="rId4" location="" tooltip="" display="https://rootstofruitsnursery.com/products/crimsoncrisp?variant=41771952177348"/>
    <hyperlink ref="B8" r:id="rId5" location="" tooltip="" display="RootsToFruitsNursery.com"/>
    <hyperlink ref="E8" r:id="rId6" location="" tooltip="" display="https://rootstofruitsnursery.com/products/goldrush?variant=43694275264708"/>
    <hyperlink ref="B9" r:id="rId7" location="" tooltip="" display="RootsToFruitsNursery.com"/>
    <hyperlink ref="E9" r:id="rId8" location="" tooltip="" display="https://rootstofruitsnursery.com/products/winecrisp?variant=42025650258116"/>
    <hyperlink ref="B10" r:id="rId9" location="" tooltip="" display="RootsToFruitsNursery.com"/>
    <hyperlink ref="E10" r:id="rId10" location="" tooltip="" display="https://rootstofruitsnursery.com/products/enterprise?variant=40992641056964"/>
    <hyperlink ref="B11" r:id="rId11" location="" tooltip="" display="RootsToFruitsNursery.com"/>
    <hyperlink ref="E11" r:id="rId12" location="" tooltip="" display="https://rootstofruitsnursery.com/products/golden-russet?variant=38015222415556"/>
    <hyperlink ref="B12" r:id="rId13" location="" tooltip="" display="RootsToFruitsNursery.com"/>
    <hyperlink ref="E12" r:id="rId14" location="" tooltip="" display="https://rootstofruitsnursery.com/products/roxbury-russet?variant=38041230147780"/>
    <hyperlink ref="B13" r:id="rId15" location="" tooltip="" display="RootsToFruitsNursery.com"/>
    <hyperlink ref="E13" r:id="rId16" location="" tooltip="" display="https://raintreenursery.com/products/liberty-apple-dwarf?variant=31817582313527"/>
    <hyperlink ref="B16" r:id="rId17" location="" tooltip="" display="RootsToFruitsNursery.com"/>
    <hyperlink ref="E16" r:id="rId18" location="" tooltip="" display="https://rootstofruitsnursery.com/products/state-fair-apple"/>
    <hyperlink ref="B17" r:id="rId19" location="" tooltip="" display="RootsToFruitsNursery.com"/>
    <hyperlink ref="E17" r:id="rId20" location="" tooltip="" display="https://rootstofruitsnursery.com/products/honeycrisp"/>
    <hyperlink ref="B18" r:id="rId21" location="" tooltip="" display="RootsToFruitsNursery.com"/>
    <hyperlink ref="E18" r:id="rId22" location="" tooltip="" display="https://rootstofruitsnursery.com/products/snowsweet?variant=44761863979204"/>
    <hyperlink ref="B19" r:id="rId23" location="" tooltip="" display="RootsToFruitsNursery.com"/>
    <hyperlink ref="E19" r:id="rId24" location="" tooltip="" display="https://rootstofruitsnursery.com/products/cortland-apple"/>
    <hyperlink ref="B20" r:id="rId25" location="" tooltip="" display="RootsToFruitsNursery.com"/>
    <hyperlink ref="E20" r:id="rId26" location="" tooltip="" display="https://rootstofruitsnursery.com/products/haralson-apple"/>
    <hyperlink ref="B22" r:id="rId27" location="" tooltip="" display="RootsToFruitsNursery.com"/>
    <hyperlink ref="E22" r:id="rId28" location="" tooltip="" display="https://rootstofruitsnursery.com/products/summercrisp"/>
    <hyperlink ref="B23" r:id="rId29" location="" tooltip="" display="RootsToFruitsNursery.com"/>
    <hyperlink ref="E23" r:id="rId30" location="" tooltip="" display="https://rootstofruitsnursery.com/products/harrowsweet-pear"/>
    <hyperlink ref="B24" r:id="rId31" location="" tooltip="" display="RootsToFruitsNursery.com"/>
    <hyperlink ref="E24" r:id="rId32" location="" tooltip="" display="https://rootstofruitsnursery.com/products/luscious-pear"/>
    <hyperlink ref="B25" r:id="rId33" location="" tooltip="" display="RootsToFruitsNursery.com"/>
    <hyperlink ref="E25" r:id="rId34" location="" tooltip="" display="https://rootstofruitsnursery.com/products/ure-pear"/>
    <hyperlink ref="B26" r:id="rId35" location="" tooltip="" display="RootsToFruitsNursery.com"/>
    <hyperlink ref="E26" r:id="rId36" location="" tooltip="" display="https://rootstofruitsnursery.com/products/seckel-pear"/>
    <hyperlink ref="B27" r:id="rId37" location="" tooltip="" display="RootsToFruitsNursery.com"/>
    <hyperlink ref="E27" r:id="rId38" location="" tooltip="" display="https://rootstofruitsnursery.com/products/patten-pear"/>
    <hyperlink ref="B28" r:id="rId39" location="" tooltip="" display="RootsToFruitsNursery.com"/>
    <hyperlink ref="E28" r:id="rId40" location="" tooltip="" display="https://rootstofruitsnursery.com/products/parker-pear"/>
    <hyperlink ref="B30" r:id="rId41" location="" tooltip="" display="RootsToFruitsNursery.com"/>
    <hyperlink ref="E30" r:id="rId42" location="" tooltip="" display="https://rootstofruitsnursery.com/products/toka"/>
    <hyperlink ref="B31" r:id="rId43" location="" tooltip="" display="RootsToFruitsNursery.com"/>
    <hyperlink ref="E31" r:id="rId44" location="" tooltip="" display="https://rootstofruitsnursery.com/products/black-ice"/>
    <hyperlink ref="B33" r:id="rId45" location="" tooltip="" display="RootsToFruitsNursery.com"/>
    <hyperlink ref="E33" r:id="rId46" location="" tooltip="" display="https://rootstofruitsnursery.com/products/contender-peach"/>
    <hyperlink ref="B34" r:id="rId47" location="" tooltip="" display="RootsToFruitsNursery.com"/>
    <hyperlink ref="E34" r:id="rId48" location="" tooltip="" display="https://rootstofruitsnursery.com/products/intrepid-peach"/>
    <hyperlink ref="B35" r:id="rId49" location="" tooltip="" display="RootsToFruitsNursery.com"/>
    <hyperlink ref="E35" r:id="rId50" location="" tooltip="" display="https://rootstofruitsnursery.com/products/reliance-peach"/>
    <hyperlink ref="B37" r:id="rId51" location="" tooltip="" display="RootsToFruitsNursery.com"/>
    <hyperlink ref="E37" r:id="rId52" location="" tooltip="" display="https://rootstofruitsnursery.com/collections/sweet-cherry-trees/zone_4"/>
    <hyperlink ref="B38" r:id="rId53" location="" tooltip="" display="RootsToFruitsNursery.com"/>
    <hyperlink ref="E38" r:id="rId54" location="" tooltip="" display="https://rootstofruitsnursery.com/products/kristen-cherry"/>
    <hyperlink ref="B40" r:id="rId55" location="" tooltip="" display="RootsToFruitsNursery.com"/>
    <hyperlink ref="E40" r:id="rId56" location="" tooltip="" display="https://rootstofruitsnursery.com/products/copy-of-madison-peach"/>
    <hyperlink ref="B43" r:id="rId57" location="" tooltip="" display="RootsToFruitsNursery.com"/>
    <hyperlink ref="E43" r:id="rId58" location="" tooltip="" display="https://rootstofruitsnursery.com/collections/pie-cherry-trees/products/montmorency-cherry"/>
    <hyperlink ref="B44" r:id="rId59" location="" tooltip="" display="RootsToFruitsNursery.com"/>
    <hyperlink ref="E44" r:id="rId60" location="" tooltip="" display="https://rootstofruitsnursery.com/collections/pie-cherry-trees/products/balaton"/>
    <hyperlink ref="B48" r:id="rId61" location="" tooltip="" display="TreesOfAntiquity.com"/>
    <hyperlink ref="E48" r:id="rId62" location="" tooltip="" display="https://www.treesofantiquity.com/products/stanley-plum"/>
    <hyperlink ref="B51" r:id="rId63" location="" tooltip="" display="TreesOfAntiquity.com"/>
    <hyperlink ref="E51" r:id="rId64" location="" tooltip="" display="https://www.treesofantiquity.com/products/rubinette-apple?_pos=1&amp;_psq=rubinette&amp;_ss=e&amp;_v=1.0"/>
    <hyperlink ref="B52" r:id="rId65" location="" tooltip="" display="TreesOfAntiquity.com"/>
    <hyperlink ref="E52" r:id="rId66" location="" tooltip="" display="https://www.treesofantiquity.com/products/harry-master-jersey-apple"/>
    <hyperlink ref="B56" r:id="rId67" location="" tooltip="" display="EastHillTreeFarm.com"/>
    <hyperlink ref="E56" r:id="rId68" location="" tooltip="" display="https://easthilltreefarm.com/products/yarlington-mill"/>
    <hyperlink ref="B60" r:id="rId69" location="" tooltip="" display="RaintreeNursery.com"/>
    <hyperlink ref="E60" r:id="rId70" location="" tooltip="" display="https://raintreenursery.com/products/foxwhelp-cider-apple-semi-dwarf"/>
    <hyperlink ref="B63" r:id="rId71" location="" tooltip="" display="RaintreeNursery.com"/>
    <hyperlink ref="E63" r:id="rId72" location="" tooltip="" display="https://raintreenursery.com/products/mount-royal-e-plum-semi-dwarf"/>
    <hyperlink ref="B67" r:id="rId73" location="" tooltip="" display="BlueHillWildlifeNursery.com"/>
    <hyperlink ref="E67" r:id="rId74" location="" tooltip="" display="https://bluehillwildlifenursery.com/product/priscilla-apple-tree/"/>
    <hyperlink ref="B71" r:id="rId75" location="" tooltip="" display="https://fedcoseeds.com/"/>
    <hyperlink ref="E71" r:id="rId76" location="" tooltip="" display="https://rootstofruitsnursery.com/products/zestar"/>
    <hyperlink ref="B73" r:id="rId77" location="" tooltip="" display="FedcoSeeds.com"/>
    <hyperlink ref="E73" r:id="rId78" location="" tooltip="" display="https://fedcoseeds.com/trees/valor-european-plum-7418"/>
    <hyperlink ref="B77" r:id="rId79" location="" tooltip="" display="https://www.starkbros.com/"/>
    <hyperlink ref="E77" r:id="rId80" location="" tooltip="" display="https://www.starkbros.com/products/fruit-trees/plum-trees/superior-plum"/>
    <hyperlink ref="B79" r:id="rId81" location="" tooltip="" display="StarkBros.com"/>
    <hyperlink ref="E79" r:id="rId82" location="" tooltip="" display="https://www.starkbros.com/products/fruit-trees/peach-trees/blushingstar-peach"/>
    <hyperlink ref="B80" r:id="rId83" location="" tooltip="" display="StarkBros.com"/>
    <hyperlink ref="E80" r:id="rId84" location="" tooltip="" display="https://www.starkbros.com/products/fruit-trees/peach-trees/bounty-peach"/>
    <hyperlink ref="B84" r:id="rId85" location="" tooltip="" display="https://www.logees.com/"/>
    <hyperlink ref="E84" r:id="rId86" location="" tooltip="" display="https://www.logees.com/products/persimmon-tree-meader?variant=47151157346555"/>
    <hyperlink ref="B85" r:id="rId87" location="" tooltip="" display="https://www.logees.com/"/>
    <hyperlink ref="E85" r:id="rId88" location="" tooltip="" display="https://www.logees.com/products/american-persimmon-tree-prairie-star?variant=47151167668475"/>
    <hyperlink ref="B89" r:id="rId89" location="" tooltip="" display="https://madisoncitrusnursery.com/"/>
    <hyperlink ref="E89" r:id="rId90" location="" tooltip="" display="https://madisoncitrusnursery.com/products/prarie-dawn-persimmon-tree-for-sale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